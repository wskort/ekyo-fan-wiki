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Tatdata!$A$1:$B$13</definedName>
    <definedName function="false" hidden="true" localSheetId="2" name="_xlnm._FilterDatabase" vbProcedure="false">Tatjes!$A$1:$F$93</definedName>
    <definedName function="false" hidden="false" localSheetId="2" name="_xlnm._FilterDatabase" vbProcedure="false">Tatjes!$A$1:$F$92</definedName>
    <definedName function="false" hidden="false" localSheetId="2" name="_xlnm._FilterDatabase_0" vbProcedure="false">Tatjes!$A$1:$F$91</definedName>
    <definedName function="false" hidden="false" localSheetId="2" name="_xlnm._FilterDatabase_0_0" vbProcedure="false">Tatjes!$A$1:$F$90</definedName>
    <definedName function="false" hidden="false" localSheetId="2" name="_xlnm._FilterDatabase_0_0_0" vbProcedure="false">Tatjes!$A$1:$F$88</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<sst xmlns="http://schemas.openxmlformats.org/spreadsheetml/2006/main" count="493" uniqueCount="101">
  <si>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</si>
  <si>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</si>
  <si>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</si>
  <si>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</si>
  <si>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</si>
  <si>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</si>
  <si>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</si>
  <si>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</si>
  <si>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</si>
  <si>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</si>
  <si>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</si>
  <si>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</si>
  <si>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</si>
  <si>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</si>
  <si>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</si>
  <si>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</si>
  <si>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</si>
  <si>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</si>
  <si>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</si>
  <si>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</si>
  <si>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</si>
  <si>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</si>
  <si>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</si>
  <si>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</si>
  <si>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</si>
  <si>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</si>
  <si>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</si>
  <si>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</si>
  <si>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</si>
  <si>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</si>
  <si>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</si>
  <si>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</si>
  <si>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</si>
  <si>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</si>
  <si>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</si>
  <si>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</si>
  <si>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</si>
  <si>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</si>
  <si>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</si>
  <si>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</si>
  <si>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</si>
  <si>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</si>
  <si>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</si>
  <si>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</si>
  <si>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</si>
  <si>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</si>
  <si>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</si>
  <si>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</si>
  <si>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</si>
  <si>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</si>
  <si>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</si>
  <si>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</si>
  <si>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</si>
  <si>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</si>
  <si>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</si>
  <si>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</si>
  <si>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</si>
  <si>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</si>
  <si>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</si>
  <si>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</si>
  <si>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</si>
  <si>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</si>
  <si>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</si>
  <si>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</si>
  <si>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</si>
  <si>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</si>
  <si>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</si>
  <si>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</si>
  <si>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</si>
  <si>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</si>
  <si>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</si>
  <si>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Blauw</t>
  </si>
  <si>
    <t xml:space="preserve">Geel</t>
  </si>
  <si>
    <t xml:space="preserve">Aqua</t>
  </si>
  <si>
    <t xml:space="preserve">Marine</t>
  </si>
  <si>
    <t xml:space="preserve">Zilver</t>
  </si>
  <si>
    <t xml:space="preserve">Paars</t>
  </si>
  <si>
    <t xml:space="preserve">Lila</t>
  </si>
  <si>
    <t xml:space="preserve">Lichtgeel</t>
  </si>
  <si>
    <t xml:space="preserve">Roze</t>
  </si>
  <si>
    <t xml:space="preserve">Zwart</t>
  </si>
  <si>
    <t xml:space="preserve">Fuchsia</t>
  </si>
  <si>
    <t xml:space="preserve">Oranje</t>
  </si>
  <si>
    <t xml:space="preserve">Gras</t>
  </si>
  <si>
    <t xml:space="preserve">Groen</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</si>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</sst>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00CAFF"/>
        <bgColor rgb="FF33CCCC"/>
      </patternFill>
    </fill>
    <fill>
      <patternFill patternType="solid">
        <fgColor rgb="FF9BE2F6"/>
        <bgColor rgb="FFCCFFFF"/>
      </patternFill>
    </fill>
    <fill>
      <patternFill patternType="solid">
        <fgColor rgb="FF2A6099"/>
        <bgColor rgb="FF004586"/>
      </patternFill>
    </fill>
    <fill>
      <patternFill patternType="solid">
        <fgColor rgb="FFDDDDDD"/>
        <bgColor rgb="FFFFCCCC"/>
      </patternFill>
    </fill>
    <fill>
      <patternFill patternType="solid">
        <fgColor rgb="FF800080"/>
        <bgColor rgb="FF800080"/>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BBE33D"/>
        <bgColor rgb="FFACB20C"/>
      </patternFill>
    </fill>
    <fill>
      <patternFill patternType="solid">
        <fgColor rgb="FF00A933"/>
        <bgColor rgb="FF008080"/>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131</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60225116"/>
        <c:axId val="23597406"/>
      </c:lineChart>
      <c:catAx>
        <c:axId val="60225116"/>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3597406"/>
        <c:crosses val="autoZero"/>
        <c:auto val="1"/>
        <c:lblAlgn val="ctr"/>
        <c:lblOffset val="100"/>
      </c:catAx>
      <c:valAx>
        <c:axId val="23597406"/>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60225116"/>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37232827"/>
        <c:axId val="6225379"/>
      </c:lineChart>
      <c:catAx>
        <c:axId val="37232827"/>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6225379"/>
        <c:crosses val="autoZero"/>
        <c:auto val="1"/>
        <c:lblAlgn val="ctr"/>
        <c:lblOffset val="100"/>
      </c:catAx>
      <c:valAx>
        <c:axId val="6225379"/>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37232827"/>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1"/>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653016567677"/>
          <c:y val="0.110950528071151"/>
          <c:w val="0.846014379493592"/>
          <c:h val="0.793440800444691"/>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48539564"/>
        <c:axId val="1579423"/>
      </c:lineChart>
      <c:catAx>
        <c:axId val="48539564"/>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1579423"/>
        <c:crosses val="autoZero"/>
        <c:auto val="1"/>
        <c:lblAlgn val="ctr"/>
        <c:lblOffset val="100"/>
      </c:catAx>
      <c:valAx>
        <c:axId val="1579423"/>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48539564"/>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178920</xdr:colOff>
      <xdr:row>23</xdr:row>
      <xdr:rowOff>42480</xdr:rowOff>
    </xdr:to>
    <xdr:graphicFrame>
      <xdr:nvGraphicFramePr>
        <xdr:cNvPr id="0" name=""/>
        <xdr:cNvGraphicFramePr/>
      </xdr:nvGraphicFramePr>
      <xdr:xfrm>
        <a:off x="6578280" y="543600"/>
        <a:ext cx="5757480" cy="3237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342720</xdr:colOff>
      <xdr:row>52</xdr:row>
      <xdr:rowOff>90720</xdr:rowOff>
    </xdr:to>
    <xdr:graphicFrame>
      <xdr:nvGraphicFramePr>
        <xdr:cNvPr id="1" name=""/>
        <xdr:cNvGraphicFramePr/>
      </xdr:nvGraphicFramePr>
      <xdr:xfrm>
        <a:off x="6741360" y="5305320"/>
        <a:ext cx="5758200" cy="3238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462240</xdr:colOff>
      <xdr:row>21</xdr:row>
      <xdr:rowOff>70920</xdr:rowOff>
    </xdr:to>
    <xdr:graphicFrame>
      <xdr:nvGraphicFramePr>
        <xdr:cNvPr id="2" name=""/>
        <xdr:cNvGraphicFramePr/>
      </xdr:nvGraphicFramePr>
      <xdr:xfrm>
        <a:off x="2646720" y="246600"/>
        <a:ext cx="575784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120"/>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82" activeCellId="0" sqref="B82"/>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47</v>
      </c>
      <c r="L27" s="6" t="n">
        <f aca="false">$K27/$K$31</f>
        <v>0.580246913580247</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0.222222222222222</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11</v>
      </c>
      <c r="L29" s="6" t="n">
        <f aca="false">$K29/$K$31</f>
        <v>0.135802469135802</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0.0493827160493827</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81</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131</v>
      </c>
      <c r="C81" s="2" t="s">
        <v>42</v>
      </c>
      <c r="D81" s="5" t="s">
        <v>4</v>
      </c>
      <c r="E81" s="5" t="n">
        <f aca="false">COUNTIF($D$2:$D81,E$1)</f>
        <v>18</v>
      </c>
      <c r="F81" s="5" t="n">
        <f aca="false">COUNTIF($D$2:$D81,F$1)</f>
        <v>47</v>
      </c>
      <c r="G81" s="5" t="n">
        <f aca="false">COUNTIF($D$2:$D81,G$1)</f>
        <v>11</v>
      </c>
      <c r="H81" s="5" t="n">
        <f aca="false">COUNTIF($D$2:$D81,H$1)</f>
        <v>4</v>
      </c>
    </row>
    <row r="82" customFormat="false" ht="12.8" hidden="false" customHeight="false" outlineLevel="0" collapsed="false">
      <c r="A82" s="1" t="n">
        <v>80</v>
      </c>
      <c r="D82" s="5"/>
      <c r="E82" s="5"/>
      <c r="F82" s="5"/>
      <c r="G82" s="5"/>
      <c r="H82" s="5"/>
    </row>
    <row r="83" customFormat="false" ht="12.8" hidden="false" customHeight="false" outlineLevel="0" collapsed="false">
      <c r="A83" s="1" t="n">
        <v>81</v>
      </c>
      <c r="D83" s="5"/>
      <c r="E83" s="5"/>
      <c r="F83" s="5"/>
      <c r="G83" s="5"/>
      <c r="H83" s="5"/>
    </row>
    <row r="84" customFormat="false" ht="12.8" hidden="false" customHeight="false" outlineLevel="0" collapsed="false">
      <c r="A84" s="1" t="n">
        <v>82</v>
      </c>
      <c r="D84" s="5"/>
      <c r="E84" s="5"/>
      <c r="F84" s="5"/>
      <c r="G84" s="5"/>
      <c r="H84" s="5"/>
    </row>
    <row r="85" customFormat="false" ht="12.8" hidden="false" customHeight="false" outlineLevel="0" collapsed="false">
      <c r="A85" s="1" t="n">
        <v>83</v>
      </c>
      <c r="D85" s="5"/>
      <c r="E85" s="5"/>
      <c r="F85" s="5"/>
      <c r="G85" s="5"/>
      <c r="H85" s="5"/>
    </row>
    <row r="86" customFormat="false" ht="12.8" hidden="false" customHeight="false" outlineLevel="0" collapsed="false">
      <c r="A86" s="1" t="n">
        <v>84</v>
      </c>
      <c r="D86" s="5"/>
      <c r="E86" s="5"/>
      <c r="F86" s="5"/>
      <c r="G86" s="5"/>
      <c r="H86" s="5"/>
    </row>
    <row r="87" customFormat="false" ht="12.8" hidden="false" customHeight="false" outlineLevel="0" collapsed="false">
      <c r="A87" s="1" t="n">
        <v>85</v>
      </c>
      <c r="D87" s="5"/>
      <c r="E87" s="5"/>
      <c r="F87" s="5"/>
      <c r="G87" s="5"/>
      <c r="H87" s="5"/>
    </row>
    <row r="88" customFormat="false" ht="12.8" hidden="false" customHeight="false" outlineLevel="0" collapsed="false">
      <c r="A88" s="1" t="n">
        <v>86</v>
      </c>
      <c r="D88" s="5"/>
      <c r="E88" s="5"/>
      <c r="F88" s="5"/>
      <c r="G88" s="5"/>
      <c r="H88" s="5"/>
    </row>
    <row r="89" customFormat="false" ht="12.8" hidden="false" customHeight="false" outlineLevel="0" collapsed="false">
      <c r="A89" s="1" t="n">
        <v>87</v>
      </c>
      <c r="D89" s="5"/>
      <c r="E89" s="5"/>
      <c r="F89" s="5"/>
      <c r="G89" s="5"/>
      <c r="H89" s="5"/>
    </row>
    <row r="90" customFormat="false" ht="12.8" hidden="false" customHeight="false" outlineLevel="0" collapsed="false">
      <c r="A90" s="1" t="n">
        <v>88</v>
      </c>
      <c r="D90" s="5"/>
      <c r="E90" s="5"/>
      <c r="F90" s="5"/>
      <c r="G90" s="5"/>
      <c r="H90" s="5"/>
    </row>
    <row r="91" customFormat="false" ht="12.8" hidden="false" customHeight="false" outlineLevel="0" collapsed="false">
      <c r="A91" s="1" t="n">
        <v>89</v>
      </c>
      <c r="D91" s="5"/>
      <c r="E91" s="5"/>
      <c r="F91" s="5"/>
      <c r="G91" s="5"/>
      <c r="H91" s="5"/>
    </row>
    <row r="92" customFormat="false" ht="12.8" hidden="false" customHeight="false" outlineLevel="0" collapsed="false">
      <c r="A92" s="1" t="n">
        <v>90</v>
      </c>
      <c r="D92" s="5"/>
      <c r="E92" s="5"/>
      <c r="F92" s="5"/>
      <c r="G92" s="5"/>
      <c r="H92" s="5"/>
    </row>
    <row r="93" customFormat="false" ht="12.8" hidden="false" customHeight="false" outlineLevel="0" collapsed="false">
      <c r="A93" s="1" t="n">
        <v>91</v>
      </c>
      <c r="D93" s="5"/>
      <c r="E93" s="5"/>
      <c r="F93" s="5"/>
      <c r="G93" s="5"/>
      <c r="H93" s="5"/>
    </row>
    <row r="94" customFormat="false" ht="12.8" hidden="false" customHeight="false" outlineLevel="0" collapsed="false">
      <c r="A94" s="1" t="n">
        <v>92</v>
      </c>
      <c r="D94" s="5"/>
      <c r="E94" s="5"/>
      <c r="F94" s="5"/>
      <c r="G94" s="5"/>
      <c r="H94" s="5"/>
    </row>
    <row r="95" customFormat="false" ht="12.8" hidden="false" customHeight="false" outlineLevel="0" collapsed="false">
      <c r="A95" s="1" t="n">
        <v>93</v>
      </c>
      <c r="D95" s="5"/>
      <c r="E95" s="5"/>
      <c r="F95" s="5"/>
      <c r="G95" s="5"/>
      <c r="H95" s="5"/>
    </row>
    <row r="96" customFormat="false" ht="12.8" hidden="false" customHeight="false" outlineLevel="0" collapsed="false">
      <c r="A96" s="1" t="n">
        <v>94</v>
      </c>
      <c r="D96" s="5"/>
      <c r="E96" s="5"/>
      <c r="F96" s="5"/>
      <c r="G96" s="5"/>
      <c r="H96" s="5"/>
    </row>
    <row r="97" customFormat="false" ht="12.8" hidden="false" customHeight="false" outlineLevel="0" collapsed="false">
      <c r="A97" s="1" t="n">
        <v>95</v>
      </c>
      <c r="D97" s="5"/>
      <c r="E97" s="5"/>
      <c r="F97" s="5"/>
      <c r="G97" s="5"/>
      <c r="H97" s="5"/>
    </row>
    <row r="98" customFormat="false" ht="12.8" hidden="false" customHeight="false" outlineLevel="0" collapsed="false">
      <c r="A98" s="1" t="n">
        <v>96</v>
      </c>
      <c r="D98" s="5"/>
      <c r="E98" s="5"/>
      <c r="F98" s="5"/>
      <c r="G98" s="5"/>
      <c r="H98" s="5"/>
    </row>
    <row r="99" customFormat="false" ht="12.8" hidden="false" customHeight="false" outlineLevel="0" collapsed="false">
      <c r="A99" s="1" t="n">
        <v>97</v>
      </c>
      <c r="D99" s="5"/>
      <c r="E99" s="5"/>
      <c r="F99" s="5"/>
      <c r="G99" s="5"/>
      <c r="H99" s="5"/>
    </row>
    <row r="100" customFormat="false" ht="12.8" hidden="false" customHeight="false" outlineLevel="0" collapsed="false">
      <c r="A100" s="1" t="n">
        <v>98</v>
      </c>
      <c r="D100" s="5"/>
      <c r="E100" s="5"/>
      <c r="F100" s="5"/>
      <c r="G100" s="5"/>
      <c r="H100" s="5"/>
    </row>
    <row r="101" customFormat="false" ht="12.8" hidden="false" customHeight="false" outlineLevel="0" collapsed="false">
      <c r="A101" s="1" t="n">
        <v>99</v>
      </c>
      <c r="D101" s="5"/>
      <c r="E101" s="5"/>
      <c r="F101" s="5"/>
      <c r="G101" s="5"/>
      <c r="H101" s="5"/>
    </row>
    <row r="102" customFormat="false" ht="12.8" hidden="false" customHeight="false" outlineLevel="0" collapsed="false">
      <c r="A102" s="1" t="n">
        <v>100</v>
      </c>
      <c r="D102" s="5"/>
      <c r="E102" s="5"/>
      <c r="F102" s="5"/>
      <c r="G102" s="5"/>
      <c r="H102" s="5"/>
    </row>
    <row r="103" customFormat="false" ht="12.8" hidden="false" customHeight="false" outlineLevel="0" collapsed="false">
      <c r="A103" s="1" t="n">
        <v>101</v>
      </c>
      <c r="D103" s="5"/>
      <c r="E103" s="5"/>
      <c r="F103" s="5"/>
      <c r="G103" s="5"/>
      <c r="H103" s="5"/>
    </row>
    <row r="104" customFormat="false" ht="12.8" hidden="false" customHeight="false" outlineLevel="0" collapsed="false">
      <c r="A104" s="1" t="n">
        <v>102</v>
      </c>
      <c r="D104" s="5"/>
      <c r="E104" s="5"/>
      <c r="F104" s="5"/>
      <c r="G104" s="5"/>
      <c r="H104" s="5"/>
    </row>
    <row r="105" customFormat="false" ht="12.8" hidden="false" customHeight="false" outlineLevel="0" collapsed="false">
      <c r="A105" s="1" t="n">
        <v>103</v>
      </c>
      <c r="D105" s="5"/>
      <c r="E105" s="5"/>
      <c r="F105" s="5"/>
      <c r="G105" s="5"/>
      <c r="H105" s="5"/>
    </row>
    <row r="106" customFormat="false" ht="12.8" hidden="false" customHeight="false" outlineLevel="0" collapsed="false">
      <c r="A106" s="1" t="n">
        <v>104</v>
      </c>
      <c r="D106" s="5"/>
      <c r="E106" s="5"/>
      <c r="F106" s="5"/>
      <c r="G106" s="5"/>
      <c r="H106" s="5"/>
    </row>
    <row r="107" customFormat="false" ht="12.8" hidden="false" customHeight="false" outlineLevel="0" collapsed="false">
      <c r="A107" s="1" t="n">
        <v>105</v>
      </c>
      <c r="D107" s="5"/>
      <c r="E107" s="5"/>
      <c r="F107" s="5"/>
      <c r="G107" s="5"/>
      <c r="H107" s="5"/>
    </row>
    <row r="108" customFormat="false" ht="12.8" hidden="false" customHeight="false" outlineLevel="0" collapsed="false">
      <c r="A108" s="1" t="n">
        <v>106</v>
      </c>
      <c r="D108" s="5"/>
      <c r="E108" s="5"/>
      <c r="F108" s="5"/>
      <c r="G108" s="5"/>
      <c r="H108" s="5"/>
    </row>
    <row r="109" customFormat="false" ht="12.8" hidden="false" customHeight="false" outlineLevel="0" collapsed="false">
      <c r="A109" s="1" t="n">
        <v>107</v>
      </c>
      <c r="D109" s="5"/>
      <c r="E109" s="5"/>
      <c r="F109" s="5"/>
      <c r="G109" s="5"/>
      <c r="H109" s="5"/>
    </row>
    <row r="110" customFormat="false" ht="12.8" hidden="false" customHeight="false" outlineLevel="0" collapsed="false">
      <c r="A110" s="1" t="n">
        <v>108</v>
      </c>
      <c r="D110" s="5"/>
      <c r="E110" s="5"/>
      <c r="F110" s="5"/>
      <c r="G110" s="5"/>
      <c r="H110" s="5"/>
    </row>
    <row r="111" customFormat="false" ht="12.8" hidden="false" customHeight="false" outlineLevel="0" collapsed="false">
      <c r="A111" s="1" t="n">
        <v>109</v>
      </c>
      <c r="D111" s="5"/>
      <c r="E111" s="5"/>
      <c r="F111" s="5"/>
      <c r="G111" s="5"/>
      <c r="H111" s="5"/>
    </row>
    <row r="112" customFormat="false" ht="12.8" hidden="false" customHeight="false" outlineLevel="0" collapsed="false">
      <c r="A112" s="1" t="n">
        <v>110</v>
      </c>
      <c r="D112" s="5"/>
      <c r="E112" s="5"/>
      <c r="F112" s="5"/>
      <c r="G112" s="5"/>
      <c r="H112" s="5"/>
    </row>
    <row r="113" customFormat="false" ht="12.8" hidden="false" customHeight="false" outlineLevel="0" collapsed="false">
      <c r="A113" s="1" t="n">
        <v>111</v>
      </c>
      <c r="D113" s="5"/>
      <c r="E113" s="5"/>
      <c r="F113" s="5"/>
      <c r="G113" s="5"/>
      <c r="H113" s="5"/>
    </row>
    <row r="114" customFormat="false" ht="12.8" hidden="false" customHeight="false" outlineLevel="0" collapsed="false">
      <c r="A114" s="1" t="n">
        <v>112</v>
      </c>
      <c r="D114" s="5"/>
      <c r="E114" s="5"/>
      <c r="F114" s="5"/>
      <c r="G114" s="5"/>
      <c r="H114" s="5"/>
    </row>
    <row r="115" customFormat="false" ht="12.8" hidden="false" customHeight="false" outlineLevel="0" collapsed="false">
      <c r="D115" s="5"/>
      <c r="E115" s="5"/>
      <c r="F115" s="5"/>
      <c r="G115" s="5"/>
      <c r="H115" s="5"/>
    </row>
    <row r="116" customFormat="false" ht="12.8" hidden="false" customHeight="false" outlineLevel="0" collapsed="false">
      <c r="D116" s="5"/>
      <c r="E116" s="5"/>
      <c r="F116" s="5"/>
      <c r="G116" s="5"/>
      <c r="H116" s="5"/>
    </row>
    <row r="117" customFormat="false" ht="12.8" hidden="false" customHeight="false" outlineLevel="0" collapsed="false">
      <c r="D117" s="5"/>
      <c r="E117" s="5"/>
      <c r="F117" s="5"/>
      <c r="G117" s="5"/>
      <c r="H117" s="5"/>
    </row>
    <row r="118" customFormat="false" ht="12.8" hidden="false" customHeight="false" outlineLevel="0" collapsed="false">
      <c r="D118" s="5"/>
      <c r="E118" s="5"/>
      <c r="F118" s="5"/>
      <c r="G118" s="5"/>
      <c r="H118" s="5"/>
    </row>
    <row r="119" customFormat="false" ht="12.8" hidden="false" customHeight="false" outlineLevel="0" collapsed="false">
      <c r="D119" s="5"/>
      <c r="E119" s="5"/>
      <c r="F119" s="5"/>
      <c r="G119" s="5"/>
      <c r="H119" s="5"/>
    </row>
    <row r="120" customFormat="false" ht="12.8" hidden="false" customHeight="false" outlineLevel="0" collapsed="false">
      <c r="D120" s="5"/>
      <c r="E120" s="5"/>
      <c r="F120" s="5"/>
      <c r="G120" s="5"/>
      <c r="H120" s="5"/>
    </row>
  </sheetData>
  <conditionalFormatting sqref="D1:H120">
    <cfRule type="cellIs" priority="2" operator="equal" aboveAverage="0" equalAverage="0" bottom="0" percent="0" rank="0" text="" dxfId="0">
      <formula>"Log"</formula>
    </cfRule>
  </conditionalFormatting>
  <conditionalFormatting sqref="D1:H120">
    <cfRule type="cellIs" priority="3" operator="equal" aboveAverage="0" equalAverage="0" bottom="0" percent="0" rank="0" text="" dxfId="1">
      <formula>"Patroon"</formula>
    </cfRule>
  </conditionalFormatting>
  <conditionalFormatting sqref="D1:H120">
    <cfRule type="cellIs" priority="4" operator="equal" aboveAverage="0" equalAverage="0" bottom="0" percent="0" rank="0" text="" dxfId="2">
      <formula>"Gedicht"</formula>
    </cfRule>
  </conditionalFormatting>
  <conditionalFormatting sqref="D1:H12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43</v>
      </c>
      <c r="B1" s="4" t="s">
        <v>44</v>
      </c>
      <c r="C1" s="4" t="s">
        <v>45</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46</v>
      </c>
    </row>
    <row r="3" customFormat="false" ht="12.8" hidden="false" customHeight="false" outlineLevel="0" collapsed="false">
      <c r="A3" s="1" t="n">
        <v>429</v>
      </c>
      <c r="B3" s="1" t="n">
        <v>268</v>
      </c>
      <c r="C3" s="1" t="n">
        <f aca="false">ROUNDDOWN(IF(A3&gt;0,D3-(415+(270/365)),""),0)</f>
        <v>13</v>
      </c>
      <c r="D3" s="1" t="n">
        <f aca="false">A3+(153/365)</f>
        <v>429.419178082192</v>
      </c>
      <c r="E3" s="0" t="s">
        <v>47</v>
      </c>
    </row>
    <row r="4" customFormat="false" ht="12.8" hidden="false" customHeight="false" outlineLevel="0" collapsed="false">
      <c r="A4" s="1" t="n">
        <v>432</v>
      </c>
      <c r="B4" s="1" t="n">
        <v>352</v>
      </c>
      <c r="C4" s="1" t="n">
        <f aca="false">ROUNDDOWN(IF(A4&gt;0,D4-(415+(270/365)),""),0)</f>
        <v>16</v>
      </c>
      <c r="D4" s="1" t="n">
        <f aca="false">A4+(153/365)</f>
        <v>432.419178082192</v>
      </c>
      <c r="E4" s="0" t="s">
        <v>48</v>
      </c>
    </row>
    <row r="5" customFormat="false" ht="12.8" hidden="false" customHeight="false" outlineLevel="0" collapsed="false">
      <c r="A5" s="7" t="n">
        <v>433</v>
      </c>
      <c r="B5" s="7" t="n">
        <v>201</v>
      </c>
      <c r="C5" s="7" t="n">
        <f aca="false">ROUNDDOWN(IF(A5&gt;0,D5-(415+(270/365)),""),0)</f>
        <v>17</v>
      </c>
      <c r="D5" s="7" t="n">
        <f aca="false">A5+(153/365)</f>
        <v>433.419178082192</v>
      </c>
      <c r="E5" s="8" t="s">
        <v>49</v>
      </c>
    </row>
    <row r="6" customFormat="false" ht="12.8" hidden="false" customHeight="false" outlineLevel="0" collapsed="false">
      <c r="A6" s="1" t="n">
        <v>436</v>
      </c>
      <c r="B6" s="1" t="n">
        <v>67</v>
      </c>
      <c r="C6" s="1" t="n">
        <f aca="false">ROUNDDOWN(IF(A6&gt;0,D6-(415+(270/365)),""),0)</f>
        <v>20</v>
      </c>
      <c r="D6" s="1" t="n">
        <f aca="false">A6+(153/365)</f>
        <v>436.419178082192</v>
      </c>
      <c r="E6" s="0" t="s">
        <v>50</v>
      </c>
    </row>
    <row r="7" customFormat="false" ht="12.8" hidden="false" customHeight="false" outlineLevel="0" collapsed="false">
      <c r="A7" s="1" t="n">
        <v>436</v>
      </c>
      <c r="B7" s="1" t="n">
        <v>199</v>
      </c>
      <c r="C7" s="1" t="n">
        <f aca="false">ROUNDDOWN(IF(A7&gt;0,D7-(415+(270/365)),""),0)</f>
        <v>20</v>
      </c>
      <c r="D7" s="1" t="n">
        <f aca="false">A7+(153/365)</f>
        <v>436.419178082192</v>
      </c>
      <c r="E7" s="0" t="s">
        <v>51</v>
      </c>
    </row>
    <row r="8" customFormat="false" ht="12.8" hidden="false" customHeight="false" outlineLevel="0" collapsed="false">
      <c r="A8" s="1" t="n">
        <v>437</v>
      </c>
      <c r="B8" s="1" t="n">
        <v>153</v>
      </c>
      <c r="C8" s="1" t="n">
        <f aca="false">ROUNDDOWN(IF(A8&gt;0,D8-(415+(270/365)),""),0)</f>
        <v>21</v>
      </c>
      <c r="D8" s="1" t="n">
        <f aca="false">A8+(153/365)</f>
        <v>437.419178082192</v>
      </c>
      <c r="E8" s="0" t="s">
        <v>52</v>
      </c>
    </row>
    <row r="9" customFormat="false" ht="12.8" hidden="false" customHeight="false" outlineLevel="0" collapsed="false">
      <c r="A9" s="1" t="n">
        <v>439</v>
      </c>
      <c r="B9" s="1" t="n">
        <v>241</v>
      </c>
      <c r="C9" s="1" t="n">
        <f aca="false">ROUNDDOWN(IF(A9&gt;0,D9-(415+(270/365)),""),0)</f>
        <v>23</v>
      </c>
      <c r="D9" s="1" t="n">
        <f aca="false">A9+(153/365)</f>
        <v>439.419178082192</v>
      </c>
      <c r="E9" s="0" t="s">
        <v>53</v>
      </c>
    </row>
    <row r="10" customFormat="false" ht="12.8" hidden="false" customHeight="false" outlineLevel="0" collapsed="false">
      <c r="A10" s="1" t="n">
        <v>440</v>
      </c>
      <c r="B10" s="1" t="n">
        <v>93</v>
      </c>
      <c r="C10" s="1" t="n">
        <f aca="false">ROUNDDOWN(IF(A10&gt;0,D10-(415+(270/365)),""),0)</f>
        <v>24</v>
      </c>
      <c r="D10" s="1" t="n">
        <f aca="false">A10+(153/365)</f>
        <v>440.419178082192</v>
      </c>
      <c r="E10" s="0" t="s">
        <v>54</v>
      </c>
    </row>
    <row r="11" customFormat="false" ht="12.8" hidden="false" customHeight="false" outlineLevel="0" collapsed="false">
      <c r="A11" s="1" t="n">
        <v>443</v>
      </c>
      <c r="B11" s="1" t="n">
        <v>302</v>
      </c>
      <c r="C11" s="1" t="n">
        <f aca="false">ROUNDDOWN(IF(A11&gt;0,D11-(415+(270/365)),""),0)</f>
        <v>27</v>
      </c>
      <c r="D11" s="1" t="n">
        <f aca="false">A11+(153/365)</f>
        <v>443.419178082192</v>
      </c>
      <c r="E11" s="0" t="s">
        <v>55</v>
      </c>
    </row>
    <row r="12" customFormat="false" ht="12.8" hidden="false" customHeight="false" outlineLevel="0" collapsed="false">
      <c r="A12" s="1" t="n">
        <v>446</v>
      </c>
      <c r="B12" s="1" t="n">
        <v>212</v>
      </c>
      <c r="C12" s="1" t="n">
        <f aca="false">ROUNDDOWN(IF(A12&gt;0,D12-(415+(270/365)),""),0)</f>
        <v>30</v>
      </c>
      <c r="D12" s="1" t="n">
        <f aca="false">A12+(153/365)</f>
        <v>446.419178082192</v>
      </c>
      <c r="E12" s="0" t="s">
        <v>56</v>
      </c>
    </row>
    <row r="13" customFormat="false" ht="12.8" hidden="false" customHeight="false" outlineLevel="0" collapsed="false">
      <c r="A13" s="1" t="n">
        <v>447</v>
      </c>
      <c r="B13" s="1" t="n">
        <v>112</v>
      </c>
      <c r="C13" s="1" t="n">
        <f aca="false">ROUNDDOWN(IF(A13&gt;0,D13-(415+(270/365)),""),0)</f>
        <v>31</v>
      </c>
      <c r="D13" s="1" t="n">
        <f aca="false">A13+(153/365)</f>
        <v>447.419178082192</v>
      </c>
      <c r="E13" s="0" t="s">
        <v>57</v>
      </c>
    </row>
    <row r="14" customFormat="false" ht="12.8" hidden="false" customHeight="false" outlineLevel="0" collapsed="false">
      <c r="A14" s="7" t="n">
        <v>447</v>
      </c>
      <c r="B14" s="7" t="n">
        <v>288</v>
      </c>
      <c r="C14" s="7" t="n">
        <f aca="false">ROUNDDOWN(IF(A14&gt;0,D14-(415+(270/365)),""),0)</f>
        <v>31</v>
      </c>
      <c r="D14" s="7" t="n">
        <f aca="false">A14+(153/365)</f>
        <v>447.419178082192</v>
      </c>
      <c r="E14" s="8" t="s">
        <v>58</v>
      </c>
    </row>
    <row r="15" customFormat="false" ht="12.8" hidden="false" customHeight="false" outlineLevel="0" collapsed="false">
      <c r="A15" s="1" t="n">
        <v>448</v>
      </c>
      <c r="B15" s="1" t="n">
        <v>189</v>
      </c>
      <c r="C15" s="1" t="n">
        <f aca="false">ROUNDDOWN(IF(A15&gt;0,D15-(415+(270/365)),""),0)</f>
        <v>32</v>
      </c>
      <c r="D15" s="1" t="n">
        <f aca="false">A15+(153/365)</f>
        <v>448.419178082192</v>
      </c>
      <c r="E15" s="0" t="s">
        <v>59</v>
      </c>
    </row>
    <row r="16" customFormat="false" ht="12.8" hidden="false" customHeight="false" outlineLevel="0" collapsed="false">
      <c r="A16" s="7" t="n">
        <v>449</v>
      </c>
      <c r="B16" s="7" t="n">
        <v>172</v>
      </c>
      <c r="C16" s="7" t="n">
        <f aca="false">ROUNDDOWN(IF(A16&gt;0,D16-(415+(270/365)),""),0)</f>
        <v>33</v>
      </c>
      <c r="D16" s="7" t="n">
        <f aca="false">A16+(153/365)</f>
        <v>449.419178082192</v>
      </c>
      <c r="E16" s="8" t="s">
        <v>60</v>
      </c>
    </row>
    <row r="17" customFormat="false" ht="12.8" hidden="false" customHeight="false" outlineLevel="0" collapsed="false">
      <c r="A17" s="1" t="n">
        <v>449</v>
      </c>
      <c r="B17" s="1" t="n">
        <v>357</v>
      </c>
      <c r="C17" s="1" t="n">
        <f aca="false">ROUNDDOWN(IF(A17&gt;0,D17-(415+(270/365)),""),0)</f>
        <v>33</v>
      </c>
      <c r="D17" s="1" t="n">
        <f aca="false">A17+(153/365)</f>
        <v>449.419178082192</v>
      </c>
      <c r="E17" s="0" t="s">
        <v>61</v>
      </c>
    </row>
    <row r="18" customFormat="false" ht="12.8" hidden="false" customHeight="false" outlineLevel="0" collapsed="false">
      <c r="A18" s="1" t="n">
        <v>450</v>
      </c>
      <c r="B18" s="1" t="n">
        <v>30</v>
      </c>
      <c r="C18" s="1" t="n">
        <f aca="false">ROUNDDOWN(IF(A18&gt;0,D18-(415+(270/365)),""),0)</f>
        <v>34</v>
      </c>
      <c r="D18" s="1" t="n">
        <f aca="false">A18+(153/365)</f>
        <v>450.419178082192</v>
      </c>
      <c r="E18" s="0" t="s">
        <v>62</v>
      </c>
    </row>
    <row r="19" customFormat="false" ht="12.8" hidden="false" customHeight="false" outlineLevel="0" collapsed="false">
      <c r="A19" s="1" t="n">
        <v>450</v>
      </c>
      <c r="B19" s="1" t="n">
        <v>81</v>
      </c>
      <c r="C19" s="1" t="n">
        <f aca="false">ROUNDDOWN(IF(A19&gt;0,D19-(415+(270/365)),""),0)</f>
        <v>34</v>
      </c>
      <c r="D19" s="1" t="n">
        <f aca="false">A19+(153/365)</f>
        <v>450.419178082192</v>
      </c>
      <c r="E19" s="0" t="s">
        <v>63</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4" activeCellId="0" sqref="A94"/>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64</v>
      </c>
      <c r="B1" s="9" t="s">
        <v>65</v>
      </c>
      <c r="C1" s="9" t="s">
        <v>66</v>
      </c>
      <c r="D1" s="9" t="s">
        <v>67</v>
      </c>
      <c r="E1" s="9" t="s">
        <v>68</v>
      </c>
      <c r="F1" s="9" t="s">
        <v>69</v>
      </c>
    </row>
    <row r="2" customFormat="false" ht="12.8" hidden="false" customHeight="false" outlineLevel="0" collapsed="false">
      <c r="A2" s="10" t="s">
        <v>70</v>
      </c>
      <c r="B2" s="11" t="s">
        <v>71</v>
      </c>
      <c r="C2" s="8" t="s">
        <v>72</v>
      </c>
      <c r="D2" s="0" t="n">
        <f aca="false">IF(ISBLANK(A2),"",COUNTIF(A:A,A2))</f>
        <v>16</v>
      </c>
      <c r="E2" s="0" t="n">
        <f aca="false">IF(ISBLANK(B2),"",COUNTIF(B:B,B2))</f>
        <v>10</v>
      </c>
      <c r="F2" s="0" t="n">
        <f aca="false">IF(ISBLANK(C2),"",COUNTIF(C:C,C2))</f>
        <v>18</v>
      </c>
    </row>
    <row r="3" customFormat="false" ht="12.8" hidden="false" customHeight="false" outlineLevel="0" collapsed="false">
      <c r="A3" s="10" t="s">
        <v>70</v>
      </c>
      <c r="B3" s="11" t="s">
        <v>71</v>
      </c>
      <c r="C3" s="12" t="s">
        <v>73</v>
      </c>
      <c r="D3" s="0" t="n">
        <f aca="false">IF(ISBLANK(A3),"",COUNTIF(A:A,A3))</f>
        <v>16</v>
      </c>
      <c r="E3" s="0" t="n">
        <f aca="false">IF(ISBLANK(B3),"",COUNTIF(B:B,B3))</f>
        <v>10</v>
      </c>
      <c r="F3" s="0" t="n">
        <f aca="false">IF(ISBLANK(C3),"",COUNTIF(C:C,C3))</f>
        <v>11</v>
      </c>
    </row>
    <row r="4" customFormat="false" ht="12.8" hidden="false" customHeight="false" outlineLevel="0" collapsed="false">
      <c r="A4" s="10" t="s">
        <v>70</v>
      </c>
      <c r="B4" s="11" t="s">
        <v>71</v>
      </c>
      <c r="C4" s="13" t="s">
        <v>74</v>
      </c>
      <c r="D4" s="0" t="n">
        <f aca="false">IF(ISBLANK(A4),"",COUNTIF(A:A,A4))</f>
        <v>16</v>
      </c>
      <c r="E4" s="0" t="n">
        <f aca="false">IF(ISBLANK(B4),"",COUNTIF(B:B,B4))</f>
        <v>10</v>
      </c>
      <c r="F4" s="0" t="n">
        <f aca="false">IF(ISBLANK(C4),"",COUNTIF(C:C,C4))</f>
        <v>3</v>
      </c>
    </row>
    <row r="5" customFormat="false" ht="12.8" hidden="false" customHeight="false" outlineLevel="0" collapsed="false">
      <c r="A5" s="10" t="s">
        <v>70</v>
      </c>
      <c r="B5" s="14" t="s">
        <v>75</v>
      </c>
      <c r="C5" s="15" t="s">
        <v>76</v>
      </c>
      <c r="D5" s="0" t="n">
        <f aca="false">IF(ISBLANK(A5),"",COUNTIF(A:A,A5))</f>
        <v>16</v>
      </c>
      <c r="E5" s="0" t="n">
        <f aca="false">IF(ISBLANK(B5),"",COUNTIF(B:B,B5))</f>
        <v>9</v>
      </c>
      <c r="F5" s="0" t="n">
        <f aca="false">IF(ISBLANK(C5),"",COUNTIF(C:C,C5))</f>
        <v>8</v>
      </c>
    </row>
    <row r="6" customFormat="false" ht="12.8" hidden="false" customHeight="false" outlineLevel="0" collapsed="false">
      <c r="A6" s="10" t="s">
        <v>70</v>
      </c>
      <c r="B6" s="14" t="s">
        <v>75</v>
      </c>
      <c r="C6" s="15" t="s">
        <v>76</v>
      </c>
      <c r="D6" s="0" t="n">
        <f aca="false">IF(ISBLANK(A6),"",COUNTIF(A:A,A6))</f>
        <v>16</v>
      </c>
      <c r="E6" s="0" t="n">
        <f aca="false">IF(ISBLANK(B6),"",COUNTIF(B:B,B6))</f>
        <v>9</v>
      </c>
      <c r="F6" s="0" t="n">
        <f aca="false">IF(ISBLANK(C6),"",COUNTIF(C:C,C6))</f>
        <v>8</v>
      </c>
    </row>
    <row r="7" customFormat="false" ht="12.8" hidden="false" customHeight="false" outlineLevel="0" collapsed="false">
      <c r="A7" s="10" t="s">
        <v>70</v>
      </c>
      <c r="B7" s="14" t="s">
        <v>75</v>
      </c>
      <c r="C7" s="13" t="s">
        <v>74</v>
      </c>
      <c r="D7" s="0" t="n">
        <f aca="false">IF(ISBLANK(A7),"",COUNTIF(A:A,A7))</f>
        <v>16</v>
      </c>
      <c r="E7" s="0" t="n">
        <f aca="false">IF(ISBLANK(B7),"",COUNTIF(B:B,B7))</f>
        <v>9</v>
      </c>
      <c r="F7" s="0" t="n">
        <f aca="false">IF(ISBLANK(C7),"",COUNTIF(C:C,C7))</f>
        <v>3</v>
      </c>
    </row>
    <row r="8" customFormat="false" ht="12.8" hidden="false" customHeight="false" outlineLevel="0" collapsed="false">
      <c r="A8" s="10" t="s">
        <v>70</v>
      </c>
      <c r="B8" s="16" t="s">
        <v>77</v>
      </c>
      <c r="C8" s="17" t="s">
        <v>78</v>
      </c>
      <c r="D8" s="0" t="n">
        <f aca="false">IF(ISBLANK(A8),"",COUNTIF(A:A,A8))</f>
        <v>16</v>
      </c>
      <c r="E8" s="0" t="n">
        <f aca="false">IF(ISBLANK(B8),"",COUNTIF(B:B,B8))</f>
        <v>7</v>
      </c>
      <c r="F8" s="0" t="n">
        <f aca="false">IF(ISBLANK(C8),"",COUNTIF(C:C,C8))</f>
        <v>6</v>
      </c>
    </row>
    <row r="9" customFormat="false" ht="12.8" hidden="false" customHeight="false" outlineLevel="0" collapsed="false">
      <c r="A9" s="10" t="s">
        <v>70</v>
      </c>
      <c r="B9" s="16" t="s">
        <v>77</v>
      </c>
      <c r="C9" s="10" t="s">
        <v>79</v>
      </c>
      <c r="D9" s="0" t="n">
        <f aca="false">IF(ISBLANK(A9),"",COUNTIF(A:A,A9))</f>
        <v>16</v>
      </c>
      <c r="E9" s="0" t="n">
        <f aca="false">IF(ISBLANK(B9),"",COUNTIF(B:B,B9))</f>
        <v>7</v>
      </c>
      <c r="F9" s="0" t="n">
        <f aca="false">IF(ISBLANK(C9),"",COUNTIF(C:C,C9))</f>
        <v>4</v>
      </c>
    </row>
    <row r="10" customFormat="false" ht="12.8" hidden="false" customHeight="false" outlineLevel="0" collapsed="false">
      <c r="A10" s="10" t="s">
        <v>70</v>
      </c>
      <c r="B10" s="15" t="s">
        <v>76</v>
      </c>
      <c r="C10" s="10" t="s">
        <v>79</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70</v>
      </c>
      <c r="B11" s="18" t="s">
        <v>80</v>
      </c>
      <c r="C11" s="14" t="s">
        <v>75</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70</v>
      </c>
      <c r="B12" s="19" t="s">
        <v>81</v>
      </c>
      <c r="C12" s="8" t="s">
        <v>72</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70</v>
      </c>
      <c r="B13" s="19" t="s">
        <v>81</v>
      </c>
      <c r="C13" s="10" t="s">
        <v>79</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70</v>
      </c>
      <c r="B14" s="20" t="s">
        <v>82</v>
      </c>
      <c r="C14" s="8" t="s">
        <v>72</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70</v>
      </c>
      <c r="B15" s="20" t="s">
        <v>82</v>
      </c>
      <c r="C15" s="8" t="s">
        <v>72</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70</v>
      </c>
      <c r="B16" s="13" t="s">
        <v>74</v>
      </c>
      <c r="C16" s="11" t="s">
        <v>71</v>
      </c>
      <c r="D16" s="0" t="n">
        <f aca="false">IF(ISBLANK(A16),"",COUNTIF(A:A,A16))</f>
        <v>16</v>
      </c>
      <c r="E16" s="0" t="n">
        <f aca="false">IF(ISBLANK(B16),"",COUNTIF(B:B,B16))</f>
        <v>2</v>
      </c>
      <c r="F16" s="0" t="n">
        <f aca="false">IF(ISBLANK(C16),"",COUNTIF(C:C,C16))</f>
        <v>6</v>
      </c>
    </row>
    <row r="17" customFormat="false" ht="12.8" hidden="false" customHeight="false" outlineLevel="0" collapsed="false">
      <c r="A17" s="10" t="s">
        <v>70</v>
      </c>
      <c r="B17" s="13" t="s">
        <v>74</v>
      </c>
      <c r="C17" s="11" t="s">
        <v>71</v>
      </c>
      <c r="D17" s="0" t="n">
        <f aca="false">IF(ISBLANK(A17),"",COUNTIF(A:A,A17))</f>
        <v>16</v>
      </c>
      <c r="E17" s="0" t="n">
        <f aca="false">IF(ISBLANK(B17),"",COUNTIF(B:B,B17))</f>
        <v>2</v>
      </c>
      <c r="F17" s="0" t="n">
        <f aca="false">IF(ISBLANK(C17),"",COUNTIF(C:C,C17))</f>
        <v>6</v>
      </c>
    </row>
    <row r="18" customFormat="false" ht="12.8" hidden="false" customHeight="false" outlineLevel="0" collapsed="false">
      <c r="A18" s="11" t="s">
        <v>33</v>
      </c>
      <c r="B18" s="11" t="s">
        <v>71</v>
      </c>
      <c r="C18" s="12" t="s">
        <v>73</v>
      </c>
      <c r="D18" s="0" t="n">
        <f aca="false">IF(ISBLANK(A18),"",COUNTIF(A:A,A18))</f>
        <v>16</v>
      </c>
      <c r="E18" s="0" t="n">
        <f aca="false">IF(ISBLANK(B18),"",COUNTIF(B:B,B18))</f>
        <v>10</v>
      </c>
      <c r="F18" s="0" t="n">
        <f aca="false">IF(ISBLANK(C18),"",COUNTIF(C:C,C18))</f>
        <v>11</v>
      </c>
    </row>
    <row r="19" customFormat="false" ht="12.8" hidden="false" customHeight="false" outlineLevel="0" collapsed="false">
      <c r="A19" s="11" t="s">
        <v>33</v>
      </c>
      <c r="B19" s="11" t="s">
        <v>71</v>
      </c>
      <c r="C19" s="12" t="s">
        <v>73</v>
      </c>
      <c r="D19" s="0" t="n">
        <f aca="false">IF(ISBLANK(A19),"",COUNTIF(A:A,A19))</f>
        <v>16</v>
      </c>
      <c r="E19" s="0" t="n">
        <f aca="false">IF(ISBLANK(B19),"",COUNTIF(B:B,B19))</f>
        <v>10</v>
      </c>
      <c r="F19" s="0" t="n">
        <f aca="false">IF(ISBLANK(C19),"",COUNTIF(C:C,C19))</f>
        <v>11</v>
      </c>
    </row>
    <row r="20" customFormat="false" ht="12.8" hidden="false" customHeight="false" outlineLevel="0" collapsed="false">
      <c r="A20" s="11" t="s">
        <v>33</v>
      </c>
      <c r="B20" s="11" t="s">
        <v>71</v>
      </c>
      <c r="C20" s="12" t="s">
        <v>73</v>
      </c>
      <c r="D20" s="0" t="n">
        <f aca="false">IF(ISBLANK(A20),"",COUNTIF(A:A,A20))</f>
        <v>16</v>
      </c>
      <c r="E20" s="0" t="n">
        <f aca="false">IF(ISBLANK(B20),"",COUNTIF(B:B,B20))</f>
        <v>10</v>
      </c>
      <c r="F20" s="0" t="n">
        <f aca="false">IF(ISBLANK(C20),"",COUNTIF(C:C,C20))</f>
        <v>11</v>
      </c>
    </row>
    <row r="21" customFormat="false" ht="12.8" hidden="false" customHeight="false" outlineLevel="0" collapsed="false">
      <c r="A21" s="11" t="s">
        <v>33</v>
      </c>
      <c r="B21" s="8" t="s">
        <v>72</v>
      </c>
      <c r="C21" s="17" t="s">
        <v>78</v>
      </c>
      <c r="D21" s="0" t="n">
        <f aca="false">IF(ISBLANK(A21),"",COUNTIF(A:A,A21))</f>
        <v>16</v>
      </c>
      <c r="E21" s="0" t="n">
        <f aca="false">IF(ISBLANK(B21),"",COUNTIF(B:B,B21))</f>
        <v>9</v>
      </c>
      <c r="F21" s="0" t="n">
        <f aca="false">IF(ISBLANK(C21),"",COUNTIF(C:C,C21))</f>
        <v>6</v>
      </c>
    </row>
    <row r="22" customFormat="false" ht="12.8" hidden="false" customHeight="false" outlineLevel="0" collapsed="false">
      <c r="A22" s="11" t="s">
        <v>33</v>
      </c>
      <c r="B22" s="21" t="s">
        <v>83</v>
      </c>
      <c r="C22" s="8" t="s">
        <v>72</v>
      </c>
      <c r="D22" s="0" t="n">
        <f aca="false">IF(ISBLANK(A22),"",COUNTIF(A:A,A22))</f>
        <v>16</v>
      </c>
      <c r="E22" s="0" t="n">
        <f aca="false">IF(ISBLANK(B22),"",COUNTIF(B:B,B22))</f>
        <v>9</v>
      </c>
      <c r="F22" s="0" t="n">
        <f aca="false">IF(ISBLANK(C22),"",COUNTIF(C:C,C22))</f>
        <v>18</v>
      </c>
    </row>
    <row r="23" customFormat="false" ht="12.8" hidden="false" customHeight="false" outlineLevel="0" collapsed="false">
      <c r="A23" s="11" t="s">
        <v>33</v>
      </c>
      <c r="B23" s="21" t="s">
        <v>83</v>
      </c>
      <c r="C23" s="12" t="s">
        <v>73</v>
      </c>
      <c r="D23" s="0" t="n">
        <f aca="false">IF(ISBLANK(A23),"",COUNTIF(A:A,A23))</f>
        <v>16</v>
      </c>
      <c r="E23" s="0" t="n">
        <f aca="false">IF(ISBLANK(B23),"",COUNTIF(B:B,B23))</f>
        <v>9</v>
      </c>
      <c r="F23" s="0" t="n">
        <f aca="false">IF(ISBLANK(C23),"",COUNTIF(C:C,C23))</f>
        <v>11</v>
      </c>
    </row>
    <row r="24" customFormat="false" ht="12.8" hidden="false" customHeight="false" outlineLevel="0" collapsed="false">
      <c r="A24" s="11" t="s">
        <v>33</v>
      </c>
      <c r="B24" s="21" t="s">
        <v>83</v>
      </c>
      <c r="C24" s="17" t="s">
        <v>78</v>
      </c>
      <c r="D24" s="0" t="n">
        <f aca="false">IF(ISBLANK(A24),"",COUNTIF(A:A,A24))</f>
        <v>16</v>
      </c>
      <c r="E24" s="0" t="n">
        <f aca="false">IF(ISBLANK(B24),"",COUNTIF(B:B,B24))</f>
        <v>9</v>
      </c>
      <c r="F24" s="0" t="n">
        <f aca="false">IF(ISBLANK(C24),"",COUNTIF(C:C,C24))</f>
        <v>6</v>
      </c>
    </row>
    <row r="25" customFormat="false" ht="12.8" hidden="false" customHeight="false" outlineLevel="0" collapsed="false">
      <c r="A25" s="11" t="s">
        <v>33</v>
      </c>
      <c r="B25" s="22" t="s">
        <v>84</v>
      </c>
      <c r="C25" s="12" t="s">
        <v>73</v>
      </c>
      <c r="D25" s="0" t="n">
        <f aca="false">IF(ISBLANK(A25),"",COUNTIF(A:A,A25))</f>
        <v>16</v>
      </c>
      <c r="E25" s="0" t="n">
        <f aca="false">IF(ISBLANK(B25),"",COUNTIF(B:B,B25))</f>
        <v>8</v>
      </c>
      <c r="F25" s="0" t="n">
        <f aca="false">IF(ISBLANK(C25),"",COUNTIF(C:C,C25))</f>
        <v>11</v>
      </c>
    </row>
    <row r="26" customFormat="false" ht="12.8" hidden="false" customHeight="false" outlineLevel="0" collapsed="false">
      <c r="A26" s="11" t="s">
        <v>33</v>
      </c>
      <c r="B26" s="22" t="s">
        <v>84</v>
      </c>
      <c r="C26" s="11" t="s">
        <v>71</v>
      </c>
      <c r="D26" s="0" t="n">
        <f aca="false">IF(ISBLANK(A26),"",COUNTIF(A:A,A26))</f>
        <v>16</v>
      </c>
      <c r="E26" s="0" t="n">
        <f aca="false">IF(ISBLANK(B26),"",COUNTIF(B:B,B26))</f>
        <v>8</v>
      </c>
      <c r="F26" s="0" t="n">
        <f aca="false">IF(ISBLANK(C26),"",COUNTIF(C:C,C26))</f>
        <v>6</v>
      </c>
    </row>
    <row r="27" customFormat="false" ht="12.8" hidden="false" customHeight="false" outlineLevel="0" collapsed="false">
      <c r="A27" s="11" t="s">
        <v>33</v>
      </c>
      <c r="B27" s="22" t="s">
        <v>84</v>
      </c>
      <c r="C27" s="21" t="s">
        <v>83</v>
      </c>
      <c r="D27" s="0" t="n">
        <f aca="false">IF(ISBLANK(A27),"",COUNTIF(A:A,A27))</f>
        <v>16</v>
      </c>
      <c r="E27" s="0" t="n">
        <f aca="false">IF(ISBLANK(B27),"",COUNTIF(B:B,B27))</f>
        <v>8</v>
      </c>
      <c r="F27" s="0" t="n">
        <f aca="false">IF(ISBLANK(C27),"",COUNTIF(C:C,C27))</f>
        <v>3</v>
      </c>
    </row>
    <row r="28" customFormat="false" ht="12.8" hidden="false" customHeight="false" outlineLevel="0" collapsed="false">
      <c r="A28" s="11" t="s">
        <v>33</v>
      </c>
      <c r="B28" s="16" t="s">
        <v>77</v>
      </c>
      <c r="C28" s="12" t="s">
        <v>73</v>
      </c>
      <c r="D28" s="0" t="n">
        <f aca="false">IF(ISBLANK(A28),"",COUNTIF(A:A,A28))</f>
        <v>16</v>
      </c>
      <c r="E28" s="0" t="n">
        <f aca="false">IF(ISBLANK(B28),"",COUNTIF(B:B,B28))</f>
        <v>7</v>
      </c>
      <c r="F28" s="0" t="n">
        <f aca="false">IF(ISBLANK(C28),"",COUNTIF(C:C,C28))</f>
        <v>11</v>
      </c>
    </row>
    <row r="29" customFormat="false" ht="12.8" hidden="false" customHeight="false" outlineLevel="0" collapsed="false">
      <c r="A29" s="11" t="s">
        <v>33</v>
      </c>
      <c r="B29" s="16" t="s">
        <v>77</v>
      </c>
      <c r="C29" s="23" t="s">
        <v>85</v>
      </c>
      <c r="D29" s="0" t="n">
        <f aca="false">IF(ISBLANK(A29),"",COUNTIF(A:A,A29))</f>
        <v>16</v>
      </c>
      <c r="E29" s="0" t="n">
        <f aca="false">IF(ISBLANK(B29),"",COUNTIF(B:B,B29))</f>
        <v>7</v>
      </c>
      <c r="F29" s="0" t="n">
        <f aca="false">IF(ISBLANK(C29),"",COUNTIF(C:C,C29))</f>
        <v>1</v>
      </c>
    </row>
    <row r="30" customFormat="false" ht="12.8" hidden="false" customHeight="false" outlineLevel="0" collapsed="false">
      <c r="A30" s="11" t="s">
        <v>33</v>
      </c>
      <c r="B30" s="15" t="s">
        <v>76</v>
      </c>
      <c r="C30" s="14" t="s">
        <v>75</v>
      </c>
      <c r="D30" s="0" t="n">
        <f aca="false">IF(ISBLANK(A30),"",COUNTIF(A:A,A30))</f>
        <v>16</v>
      </c>
      <c r="E30" s="0" t="n">
        <f aca="false">IF(ISBLANK(B30),"",COUNTIF(B:B,B30))</f>
        <v>7</v>
      </c>
      <c r="F30" s="0" t="n">
        <f aca="false">IF(ISBLANK(C30),"",COUNTIF(C:C,C30))</f>
        <v>3</v>
      </c>
    </row>
    <row r="31" customFormat="false" ht="12.8" hidden="false" customHeight="false" outlineLevel="0" collapsed="false">
      <c r="A31" s="11" t="s">
        <v>33</v>
      </c>
      <c r="B31" s="15" t="s">
        <v>76</v>
      </c>
      <c r="C31" s="16" t="s">
        <v>77</v>
      </c>
      <c r="D31" s="0" t="n">
        <f aca="false">IF(ISBLANK(A31),"",COUNTIF(A:A,A31))</f>
        <v>16</v>
      </c>
      <c r="E31" s="0" t="n">
        <f aca="false">IF(ISBLANK(B31),"",COUNTIF(B:B,B31))</f>
        <v>7</v>
      </c>
      <c r="F31" s="0" t="n">
        <f aca="false">IF(ISBLANK(C31),"",COUNTIF(C:C,C31))</f>
        <v>2</v>
      </c>
    </row>
    <row r="32" customFormat="false" ht="12.8" hidden="false" customHeight="false" outlineLevel="0" collapsed="false">
      <c r="A32" s="11" t="s">
        <v>33</v>
      </c>
      <c r="B32" s="20" t="s">
        <v>82</v>
      </c>
      <c r="C32" s="8" t="s">
        <v>72</v>
      </c>
      <c r="D32" s="0" t="n">
        <f aca="false">IF(ISBLANK(A32),"",COUNTIF(A:A,A32))</f>
        <v>16</v>
      </c>
      <c r="E32" s="0" t="n">
        <f aca="false">IF(ISBLANK(B32),"",COUNTIF(B:B,B32))</f>
        <v>5</v>
      </c>
      <c r="F32" s="0" t="n">
        <f aca="false">IF(ISBLANK(C32),"",COUNTIF(C:C,C32))</f>
        <v>18</v>
      </c>
    </row>
    <row r="33" customFormat="false" ht="12.8" hidden="false" customHeight="false" outlineLevel="0" collapsed="false">
      <c r="A33" s="11" t="s">
        <v>33</v>
      </c>
      <c r="B33" s="12" t="s">
        <v>73</v>
      </c>
      <c r="C33" s="17" t="s">
        <v>78</v>
      </c>
      <c r="D33" s="0" t="n">
        <f aca="false">IF(ISBLANK(A33),"",COUNTIF(A:A,A33))</f>
        <v>16</v>
      </c>
      <c r="E33" s="0" t="n">
        <f aca="false">IF(ISBLANK(B33),"",COUNTIF(B:B,B33))</f>
        <v>2</v>
      </c>
      <c r="F33" s="0" t="n">
        <f aca="false">IF(ISBLANK(C33),"",COUNTIF(C:C,C33))</f>
        <v>6</v>
      </c>
    </row>
    <row r="34" customFormat="false" ht="12.8" hidden="false" customHeight="false" outlineLevel="0" collapsed="false">
      <c r="A34" s="22" t="s">
        <v>86</v>
      </c>
      <c r="B34" s="8" t="s">
        <v>72</v>
      </c>
      <c r="D34" s="0" t="n">
        <f aca="false">IF(ISBLANK(A34),"",COUNTIF(A:A,A34))</f>
        <v>12</v>
      </c>
      <c r="E34" s="0" t="n">
        <f aca="false">IF(ISBLANK(B34),"",COUNTIF(B:B,B34))</f>
        <v>9</v>
      </c>
      <c r="F34" s="0" t="str">
        <f aca="false">IF(ISBLANK(C34),"",COUNTIF(C:C,C34))</f>
        <v/>
      </c>
    </row>
    <row r="35" customFormat="false" ht="12.8" hidden="false" customHeight="false" outlineLevel="0" collapsed="false">
      <c r="A35" s="22" t="s">
        <v>86</v>
      </c>
      <c r="B35" s="8" t="s">
        <v>72</v>
      </c>
      <c r="D35" s="0" t="n">
        <f aca="false">IF(ISBLANK(A35),"",COUNTIF(A:A,A35))</f>
        <v>12</v>
      </c>
      <c r="E35" s="0" t="n">
        <f aca="false">IF(ISBLANK(B35),"",COUNTIF(B:B,B35))</f>
        <v>9</v>
      </c>
      <c r="F35" s="0" t="str">
        <f aca="false">IF(ISBLANK(C35),"",COUNTIF(C:C,C35))</f>
        <v/>
      </c>
    </row>
    <row r="36" customFormat="false" ht="12.8" hidden="false" customHeight="false" outlineLevel="0" collapsed="false">
      <c r="A36" s="22" t="s">
        <v>86</v>
      </c>
      <c r="B36" s="8" t="s">
        <v>72</v>
      </c>
      <c r="D36" s="0" t="n">
        <f aca="false">IF(ISBLANK(A36),"",COUNTIF(A:A,A36))</f>
        <v>12</v>
      </c>
      <c r="E36" s="0" t="n">
        <f aca="false">IF(ISBLANK(B36),"",COUNTIF(B:B,B36))</f>
        <v>9</v>
      </c>
      <c r="F36" s="0" t="str">
        <f aca="false">IF(ISBLANK(C36),"",COUNTIF(C:C,C36))</f>
        <v/>
      </c>
    </row>
    <row r="37" customFormat="false" ht="12.8" hidden="false" customHeight="false" outlineLevel="0" collapsed="false">
      <c r="A37" s="22" t="s">
        <v>86</v>
      </c>
      <c r="B37" s="8" t="s">
        <v>72</v>
      </c>
      <c r="D37" s="0" t="n">
        <f aca="false">IF(ISBLANK(A37),"",COUNTIF(A:A,A37))</f>
        <v>12</v>
      </c>
      <c r="E37" s="0" t="n">
        <f aca="false">IF(ISBLANK(B37),"",COUNTIF(B:B,B37))</f>
        <v>9</v>
      </c>
      <c r="F37" s="0" t="str">
        <f aca="false">IF(ISBLANK(C37),"",COUNTIF(C:C,C37))</f>
        <v/>
      </c>
    </row>
    <row r="38" customFormat="false" ht="12.8" hidden="false" customHeight="false" outlineLevel="0" collapsed="false">
      <c r="A38" s="22" t="s">
        <v>86</v>
      </c>
      <c r="B38" s="21" t="s">
        <v>83</v>
      </c>
      <c r="D38" s="0" t="n">
        <f aca="false">IF(ISBLANK(A38),"",COUNTIF(A:A,A38))</f>
        <v>12</v>
      </c>
      <c r="E38" s="0" t="n">
        <f aca="false">IF(ISBLANK(B38),"",COUNTIF(B:B,B38))</f>
        <v>9</v>
      </c>
      <c r="F38" s="0" t="str">
        <f aca="false">IF(ISBLANK(C38),"",COUNTIF(C:C,C38))</f>
        <v/>
      </c>
    </row>
    <row r="39" customFormat="false" ht="12.8" hidden="false" customHeight="false" outlineLevel="0" collapsed="false">
      <c r="A39" s="22" t="s">
        <v>86</v>
      </c>
      <c r="B39" s="21" t="s">
        <v>83</v>
      </c>
      <c r="D39" s="0" t="n">
        <f aca="false">IF(ISBLANK(A39),"",COUNTIF(A:A,A39))</f>
        <v>12</v>
      </c>
      <c r="E39" s="0" t="n">
        <f aca="false">IF(ISBLANK(B39),"",COUNTIF(B:B,B39))</f>
        <v>9</v>
      </c>
      <c r="F39" s="0" t="str">
        <f aca="false">IF(ISBLANK(C39),"",COUNTIF(C:C,C39))</f>
        <v/>
      </c>
    </row>
    <row r="40" customFormat="false" ht="12.8" hidden="false" customHeight="false" outlineLevel="0" collapsed="false">
      <c r="A40" s="22" t="s">
        <v>86</v>
      </c>
      <c r="B40" s="22" t="s">
        <v>84</v>
      </c>
      <c r="D40" s="0" t="n">
        <f aca="false">IF(ISBLANK(A40),"",COUNTIF(A:A,A40))</f>
        <v>12</v>
      </c>
      <c r="E40" s="0" t="n">
        <f aca="false">IF(ISBLANK(B40),"",COUNTIF(B:B,B40))</f>
        <v>8</v>
      </c>
      <c r="F40" s="0" t="str">
        <f aca="false">IF(ISBLANK(C40),"",COUNTIF(C:C,C40))</f>
        <v/>
      </c>
    </row>
    <row r="41" customFormat="false" ht="12.8" hidden="false" customHeight="false" outlineLevel="0" collapsed="false">
      <c r="A41" s="22" t="s">
        <v>86</v>
      </c>
      <c r="B41" s="17" t="s">
        <v>78</v>
      </c>
      <c r="D41" s="0" t="n">
        <f aca="false">IF(ISBLANK(A41),"",COUNTIF(A:A,A41))</f>
        <v>12</v>
      </c>
      <c r="E41" s="0" t="n">
        <f aca="false">IF(ISBLANK(B41),"",COUNTIF(B:B,B41))</f>
        <v>5</v>
      </c>
      <c r="F41" s="0" t="str">
        <f aca="false">IF(ISBLANK(C41),"",COUNTIF(C:C,C41))</f>
        <v/>
      </c>
    </row>
    <row r="42" customFormat="false" ht="12.8" hidden="false" customHeight="false" outlineLevel="0" collapsed="false">
      <c r="A42" s="22" t="s">
        <v>86</v>
      </c>
      <c r="B42" s="17" t="s">
        <v>78</v>
      </c>
      <c r="D42" s="0" t="n">
        <f aca="false">IF(ISBLANK(A42),"",COUNTIF(A:A,A42))</f>
        <v>12</v>
      </c>
      <c r="E42" s="0" t="n">
        <f aca="false">IF(ISBLANK(B42),"",COUNTIF(B:B,B42))</f>
        <v>5</v>
      </c>
      <c r="F42" s="0" t="str">
        <f aca="false">IF(ISBLANK(C42),"",COUNTIF(C:C,C42))</f>
        <v/>
      </c>
    </row>
    <row r="43" customFormat="false" ht="12.8" hidden="false" customHeight="false" outlineLevel="0" collapsed="false">
      <c r="A43" s="22" t="s">
        <v>86</v>
      </c>
      <c r="B43" s="17" t="s">
        <v>78</v>
      </c>
      <c r="D43" s="0" t="n">
        <f aca="false">IF(ISBLANK(A43),"",COUNTIF(A:A,A43))</f>
        <v>12</v>
      </c>
      <c r="E43" s="0" t="n">
        <f aca="false">IF(ISBLANK(B43),"",COUNTIF(B:B,B43))</f>
        <v>5</v>
      </c>
      <c r="F43" s="0" t="str">
        <f aca="false">IF(ISBLANK(C43),"",COUNTIF(C:C,C43))</f>
        <v/>
      </c>
    </row>
    <row r="44" customFormat="false" ht="12.8" hidden="false" customHeight="false" outlineLevel="0" collapsed="false">
      <c r="A44" s="22" t="s">
        <v>86</v>
      </c>
      <c r="B44" s="24" t="s">
        <v>87</v>
      </c>
      <c r="D44" s="0" t="n">
        <f aca="false">IF(ISBLANK(A44),"",COUNTIF(A:A,A44))</f>
        <v>12</v>
      </c>
      <c r="E44" s="0" t="n">
        <f aca="false">IF(ISBLANK(B44),"",COUNTIF(B:B,B44))</f>
        <v>2</v>
      </c>
      <c r="F44" s="0" t="str">
        <f aca="false">IF(ISBLANK(C44),"",COUNTIF(C:C,C44))</f>
        <v/>
      </c>
    </row>
    <row r="45" customFormat="false" ht="12.8" hidden="false" customHeight="false" outlineLevel="0" collapsed="false">
      <c r="A45" s="22" t="s">
        <v>86</v>
      </c>
      <c r="B45" s="24" t="s">
        <v>87</v>
      </c>
      <c r="D45" s="0" t="n">
        <f aca="false">IF(ISBLANK(A45),"",COUNTIF(A:A,A45))</f>
        <v>12</v>
      </c>
      <c r="E45" s="0" t="n">
        <f aca="false">IF(ISBLANK(B45),"",COUNTIF(B:B,B45))</f>
        <v>2</v>
      </c>
      <c r="F45" s="0" t="str">
        <f aca="false">IF(ISBLANK(C45),"",COUNTIF(C:C,C45))</f>
        <v/>
      </c>
    </row>
    <row r="46" customFormat="false" ht="12.8" hidden="false" customHeight="false" outlineLevel="0" collapsed="false">
      <c r="A46" s="20" t="s">
        <v>19</v>
      </c>
      <c r="B46" s="11" t="s">
        <v>71</v>
      </c>
      <c r="C46" s="12" t="s">
        <v>73</v>
      </c>
      <c r="D46" s="0" t="n">
        <f aca="false">IF(ISBLANK(A46),"",COUNTIF(A:A,A46))</f>
        <v>11</v>
      </c>
      <c r="E46" s="0" t="n">
        <f aca="false">IF(ISBLANK(B46),"",COUNTIF(B:B,B46))</f>
        <v>10</v>
      </c>
      <c r="F46" s="0" t="n">
        <f aca="false">IF(ISBLANK(C46),"",COUNTIF(C:C,C46))</f>
        <v>11</v>
      </c>
    </row>
    <row r="47" customFormat="false" ht="12.8" hidden="false" customHeight="false" outlineLevel="0" collapsed="false">
      <c r="A47" s="20" t="s">
        <v>19</v>
      </c>
      <c r="B47" s="11" t="s">
        <v>71</v>
      </c>
      <c r="C47" s="12" t="s">
        <v>73</v>
      </c>
      <c r="D47" s="0" t="n">
        <f aca="false">IF(ISBLANK(A47),"",COUNTIF(A:A,A47))</f>
        <v>11</v>
      </c>
      <c r="E47" s="0" t="n">
        <f aca="false">IF(ISBLANK(B47),"",COUNTIF(B:B,B47))</f>
        <v>10</v>
      </c>
      <c r="F47" s="0" t="n">
        <f aca="false">IF(ISBLANK(C47),"",COUNTIF(C:C,C47))</f>
        <v>11</v>
      </c>
    </row>
    <row r="48" customFormat="false" ht="12.8" hidden="false" customHeight="false" outlineLevel="0" collapsed="false">
      <c r="A48" s="20" t="s">
        <v>19</v>
      </c>
      <c r="B48" s="11" t="s">
        <v>71</v>
      </c>
      <c r="C48" s="21" t="s">
        <v>83</v>
      </c>
      <c r="D48" s="0" t="n">
        <f aca="false">IF(ISBLANK(A48),"",COUNTIF(A:A,A48))</f>
        <v>11</v>
      </c>
      <c r="E48" s="0" t="n">
        <f aca="false">IF(ISBLANK(B48),"",COUNTIF(B:B,B48))</f>
        <v>10</v>
      </c>
      <c r="F48" s="0" t="n">
        <f aca="false">IF(ISBLANK(C48),"",COUNTIF(C:C,C48))</f>
        <v>3</v>
      </c>
    </row>
    <row r="49" customFormat="false" ht="12.8" hidden="false" customHeight="false" outlineLevel="0" collapsed="false">
      <c r="A49" s="20" t="s">
        <v>19</v>
      </c>
      <c r="B49" s="8" t="s">
        <v>72</v>
      </c>
      <c r="C49" s="20" t="s">
        <v>82</v>
      </c>
      <c r="D49" s="0" t="n">
        <f aca="false">IF(ISBLANK(A49),"",COUNTIF(A:A,A49))</f>
        <v>11</v>
      </c>
      <c r="E49" s="0" t="n">
        <f aca="false">IF(ISBLANK(B49),"",COUNTIF(B:B,B49))</f>
        <v>9</v>
      </c>
      <c r="F49" s="0" t="n">
        <f aca="false">IF(ISBLANK(C49),"",COUNTIF(C:C,C49))</f>
        <v>1</v>
      </c>
    </row>
    <row r="50" customFormat="false" ht="12.8" hidden="false" customHeight="false" outlineLevel="0" collapsed="false">
      <c r="A50" s="20" t="s">
        <v>19</v>
      </c>
      <c r="B50" s="21" t="s">
        <v>83</v>
      </c>
      <c r="C50" s="11" t="s">
        <v>71</v>
      </c>
      <c r="D50" s="0" t="n">
        <f aca="false">IF(ISBLANK(A50),"",COUNTIF(A:A,A50))</f>
        <v>11</v>
      </c>
      <c r="E50" s="0" t="n">
        <f aca="false">IF(ISBLANK(B50),"",COUNTIF(B:B,B50))</f>
        <v>9</v>
      </c>
      <c r="F50" s="0" t="n">
        <f aca="false">IF(ISBLANK(C50),"",COUNTIF(C:C,C50))</f>
        <v>6</v>
      </c>
    </row>
    <row r="51" customFormat="false" ht="12.8" hidden="false" customHeight="false" outlineLevel="0" collapsed="false">
      <c r="A51" s="20" t="s">
        <v>19</v>
      </c>
      <c r="B51" s="21" t="s">
        <v>83</v>
      </c>
      <c r="C51" s="11" t="s">
        <v>71</v>
      </c>
      <c r="D51" s="0" t="n">
        <f aca="false">IF(ISBLANK(A51),"",COUNTIF(A:A,A51))</f>
        <v>11</v>
      </c>
      <c r="E51" s="0" t="n">
        <f aca="false">IF(ISBLANK(B51),"",COUNTIF(B:B,B51))</f>
        <v>9</v>
      </c>
      <c r="F51" s="0" t="n">
        <f aca="false">IF(ISBLANK(C51),"",COUNTIF(C:C,C51))</f>
        <v>6</v>
      </c>
    </row>
    <row r="52" customFormat="false" ht="12.8" hidden="false" customHeight="false" outlineLevel="0" collapsed="false">
      <c r="A52" s="20" t="s">
        <v>19</v>
      </c>
      <c r="B52" s="16" t="s">
        <v>77</v>
      </c>
      <c r="C52" s="12" t="s">
        <v>73</v>
      </c>
      <c r="D52" s="0" t="n">
        <f aca="false">IF(ISBLANK(A52),"",COUNTIF(A:A,A52))</f>
        <v>11</v>
      </c>
      <c r="E52" s="0" t="n">
        <f aca="false">IF(ISBLANK(B52),"",COUNTIF(B:B,B52))</f>
        <v>7</v>
      </c>
      <c r="F52" s="0" t="n">
        <f aca="false">IF(ISBLANK(C52),"",COUNTIF(C:C,C52))</f>
        <v>11</v>
      </c>
    </row>
    <row r="53" customFormat="false" ht="12.8" hidden="false" customHeight="false" outlineLevel="0" collapsed="false">
      <c r="A53" s="20" t="s">
        <v>19</v>
      </c>
      <c r="B53" s="16" t="s">
        <v>77</v>
      </c>
      <c r="C53" s="15" t="s">
        <v>76</v>
      </c>
      <c r="D53" s="0" t="n">
        <f aca="false">IF(ISBLANK(A53),"",COUNTIF(A:A,A53))</f>
        <v>11</v>
      </c>
      <c r="E53" s="0" t="n">
        <f aca="false">IF(ISBLANK(B53),"",COUNTIF(B:B,B53))</f>
        <v>7</v>
      </c>
      <c r="F53" s="0" t="n">
        <f aca="false">IF(ISBLANK(C53),"",COUNTIF(C:C,C53))</f>
        <v>8</v>
      </c>
    </row>
    <row r="54" customFormat="false" ht="12.8" hidden="false" customHeight="false" outlineLevel="0" collapsed="false">
      <c r="A54" s="20" t="s">
        <v>19</v>
      </c>
      <c r="B54" s="15" t="s">
        <v>76</v>
      </c>
      <c r="C54" s="19" t="s">
        <v>81</v>
      </c>
      <c r="D54" s="0" t="n">
        <f aca="false">IF(ISBLANK(A54),"",COUNTIF(A:A,A54))</f>
        <v>11</v>
      </c>
      <c r="E54" s="0" t="n">
        <f aca="false">IF(ISBLANK(B54),"",COUNTIF(B:B,B54))</f>
        <v>7</v>
      </c>
      <c r="F54" s="0" t="n">
        <f aca="false">IF(ISBLANK(C54),"",COUNTIF(C:C,C54))</f>
        <v>3</v>
      </c>
    </row>
    <row r="55" customFormat="false" ht="12.8" hidden="false" customHeight="false" outlineLevel="0" collapsed="false">
      <c r="A55" s="20" t="s">
        <v>19</v>
      </c>
      <c r="B55" s="20" t="s">
        <v>82</v>
      </c>
      <c r="C55" s="8" t="s">
        <v>72</v>
      </c>
      <c r="D55" s="0" t="n">
        <f aca="false">IF(ISBLANK(A55),"",COUNTIF(A:A,A55))</f>
        <v>11</v>
      </c>
      <c r="E55" s="0" t="n">
        <f aca="false">IF(ISBLANK(B55),"",COUNTIF(B:B,B55))</f>
        <v>5</v>
      </c>
      <c r="F55" s="0" t="n">
        <f aca="false">IF(ISBLANK(C55),"",COUNTIF(C:C,C55))</f>
        <v>18</v>
      </c>
    </row>
    <row r="56" customFormat="false" ht="12.8" hidden="false" customHeight="false" outlineLevel="0" collapsed="false">
      <c r="A56" s="20" t="s">
        <v>19</v>
      </c>
      <c r="B56" s="25" t="s">
        <v>88</v>
      </c>
      <c r="C56" s="8" t="s">
        <v>72</v>
      </c>
      <c r="D56" s="0" t="n">
        <f aca="false">IF(ISBLANK(A56),"",COUNTIF(A:A,A56))</f>
        <v>11</v>
      </c>
      <c r="E56" s="0" t="n">
        <f aca="false">IF(ISBLANK(B56),"",COUNTIF(B:B,B56))</f>
        <v>2</v>
      </c>
      <c r="F56" s="0" t="n">
        <f aca="false">IF(ISBLANK(C56),"",COUNTIF(C:C,C56))</f>
        <v>18</v>
      </c>
    </row>
    <row r="57" customFormat="false" ht="12.8" hidden="false" customHeight="false" outlineLevel="0" collapsed="false">
      <c r="A57" s="15" t="s">
        <v>89</v>
      </c>
      <c r="B57" s="14" t="s">
        <v>75</v>
      </c>
      <c r="C57" s="15" t="s">
        <v>76</v>
      </c>
      <c r="D57" s="0" t="n">
        <f aca="false">IF(ISBLANK(A57),"",COUNTIF(A:A,A57))</f>
        <v>10</v>
      </c>
      <c r="E57" s="0" t="n">
        <f aca="false">IF(ISBLANK(B57),"",COUNTIF(B:B,B57))</f>
        <v>9</v>
      </c>
      <c r="F57" s="0" t="n">
        <f aca="false">IF(ISBLANK(C57),"",COUNTIF(C:C,C57))</f>
        <v>8</v>
      </c>
    </row>
    <row r="58" customFormat="false" ht="12.8" hidden="false" customHeight="false" outlineLevel="0" collapsed="false">
      <c r="A58" s="15" t="s">
        <v>89</v>
      </c>
      <c r="B58" s="14" t="s">
        <v>75</v>
      </c>
      <c r="C58" s="15" t="s">
        <v>76</v>
      </c>
      <c r="D58" s="0" t="n">
        <f aca="false">IF(ISBLANK(A58),"",COUNTIF(A:A,A58))</f>
        <v>10</v>
      </c>
      <c r="E58" s="0" t="n">
        <f aca="false">IF(ISBLANK(B58),"",COUNTIF(B:B,B58))</f>
        <v>9</v>
      </c>
      <c r="F58" s="0" t="n">
        <f aca="false">IF(ISBLANK(C58),"",COUNTIF(C:C,C58))</f>
        <v>8</v>
      </c>
    </row>
    <row r="59" customFormat="false" ht="12.8" hidden="false" customHeight="false" outlineLevel="0" collapsed="false">
      <c r="A59" s="15" t="s">
        <v>89</v>
      </c>
      <c r="B59" s="14" t="s">
        <v>75</v>
      </c>
      <c r="C59" s="15" t="s">
        <v>76</v>
      </c>
      <c r="D59" s="0" t="n">
        <f aca="false">IF(ISBLANK(A59),"",COUNTIF(A:A,A59))</f>
        <v>10</v>
      </c>
      <c r="E59" s="0" t="n">
        <f aca="false">IF(ISBLANK(B59),"",COUNTIF(B:B,B59))</f>
        <v>9</v>
      </c>
      <c r="F59" s="0" t="n">
        <f aca="false">IF(ISBLANK(C59),"",COUNTIF(C:C,C59))</f>
        <v>8</v>
      </c>
    </row>
    <row r="60" customFormat="false" ht="12.8" hidden="false" customHeight="false" outlineLevel="0" collapsed="false">
      <c r="A60" s="15" t="s">
        <v>89</v>
      </c>
      <c r="B60" s="14" t="s">
        <v>75</v>
      </c>
      <c r="C60" s="13" t="s">
        <v>74</v>
      </c>
      <c r="D60" s="0" t="n">
        <f aca="false">IF(ISBLANK(A60),"",COUNTIF(A:A,A60))</f>
        <v>10</v>
      </c>
      <c r="E60" s="0" t="n">
        <f aca="false">IF(ISBLANK(B60),"",COUNTIF(B:B,B60))</f>
        <v>9</v>
      </c>
      <c r="F60" s="0" t="n">
        <f aca="false">IF(ISBLANK(C60),"",COUNTIF(C:C,C60))</f>
        <v>3</v>
      </c>
    </row>
    <row r="61" customFormat="false" ht="12.8" hidden="false" customHeight="false" outlineLevel="0" collapsed="false">
      <c r="A61" s="15" t="s">
        <v>89</v>
      </c>
      <c r="B61" s="16" t="s">
        <v>77</v>
      </c>
      <c r="C61" s="15" t="s">
        <v>76</v>
      </c>
      <c r="D61" s="0" t="n">
        <f aca="false">IF(ISBLANK(A61),"",COUNTIF(A:A,A61))</f>
        <v>10</v>
      </c>
      <c r="E61" s="0" t="n">
        <f aca="false">IF(ISBLANK(B61),"",COUNTIF(B:B,B61))</f>
        <v>7</v>
      </c>
      <c r="F61" s="0" t="n">
        <f aca="false">IF(ISBLANK(C61),"",COUNTIF(C:C,C61))</f>
        <v>8</v>
      </c>
    </row>
    <row r="62" customFormat="false" ht="12.8" hidden="false" customHeight="false" outlineLevel="0" collapsed="false">
      <c r="A62" s="15" t="s">
        <v>89</v>
      </c>
      <c r="B62" s="15" t="s">
        <v>76</v>
      </c>
      <c r="C62" s="19" t="s">
        <v>81</v>
      </c>
      <c r="D62" s="0" t="n">
        <f aca="false">IF(ISBLANK(A62),"",COUNTIF(A:A,A62))</f>
        <v>10</v>
      </c>
      <c r="E62" s="0" t="n">
        <f aca="false">IF(ISBLANK(B62),"",COUNTIF(B:B,B62))</f>
        <v>7</v>
      </c>
      <c r="F62" s="0" t="n">
        <f aca="false">IF(ISBLANK(C62),"",COUNTIF(C:C,C62))</f>
        <v>3</v>
      </c>
    </row>
    <row r="63" customFormat="false" ht="12.8" hidden="false" customHeight="false" outlineLevel="0" collapsed="false">
      <c r="A63" s="15" t="s">
        <v>89</v>
      </c>
      <c r="B63" s="19" t="s">
        <v>81</v>
      </c>
      <c r="C63" s="18" t="s">
        <v>80</v>
      </c>
      <c r="D63" s="0" t="n">
        <f aca="false">IF(ISBLANK(A63),"",COUNTIF(A:A,A63))</f>
        <v>10</v>
      </c>
      <c r="E63" s="0" t="n">
        <f aca="false">IF(ISBLANK(B63),"",COUNTIF(B:B,B63))</f>
        <v>5</v>
      </c>
      <c r="F63" s="0" t="n">
        <f aca="false">IF(ISBLANK(C63),"",COUNTIF(C:C,C63))</f>
        <v>5</v>
      </c>
    </row>
    <row r="64" customFormat="false" ht="12.8" hidden="false" customHeight="false" outlineLevel="0" collapsed="false">
      <c r="A64" s="15" t="s">
        <v>89</v>
      </c>
      <c r="B64" s="19" t="s">
        <v>81</v>
      </c>
      <c r="C64" s="10" t="s">
        <v>79</v>
      </c>
      <c r="D64" s="0" t="n">
        <f aca="false">IF(ISBLANK(A64),"",COUNTIF(A:A,A64))</f>
        <v>10</v>
      </c>
      <c r="E64" s="0" t="n">
        <f aca="false">IF(ISBLANK(B64),"",COUNTIF(B:B,B64))</f>
        <v>5</v>
      </c>
      <c r="F64" s="0" t="n">
        <f aca="false">IF(ISBLANK(C64),"",COUNTIF(C:C,C64))</f>
        <v>4</v>
      </c>
    </row>
    <row r="65" customFormat="false" ht="12.8" hidden="false" customHeight="false" outlineLevel="0" collapsed="false">
      <c r="A65" s="15" t="s">
        <v>89</v>
      </c>
      <c r="B65" s="17" t="s">
        <v>78</v>
      </c>
      <c r="C65" s="8" t="s">
        <v>72</v>
      </c>
      <c r="D65" s="0" t="n">
        <f aca="false">IF(ISBLANK(A65),"",COUNTIF(A:A,A65))</f>
        <v>10</v>
      </c>
      <c r="E65" s="0" t="n">
        <f aca="false">IF(ISBLANK(B65),"",COUNTIF(B:B,B65))</f>
        <v>5</v>
      </c>
      <c r="F65" s="0" t="n">
        <f aca="false">IF(ISBLANK(C65),"",COUNTIF(C:C,C65))</f>
        <v>18</v>
      </c>
    </row>
    <row r="66" customFormat="false" ht="12.8" hidden="false" customHeight="false" outlineLevel="0" collapsed="false">
      <c r="A66" s="15" t="s">
        <v>89</v>
      </c>
      <c r="B66" s="12" t="s">
        <v>73</v>
      </c>
      <c r="C66" s="11" t="s">
        <v>71</v>
      </c>
      <c r="D66" s="0" t="n">
        <f aca="false">IF(ISBLANK(A66),"",COUNTIF(A:A,A66))</f>
        <v>10</v>
      </c>
      <c r="E66" s="0" t="n">
        <f aca="false">IF(ISBLANK(B66),"",COUNTIF(B:B,B66))</f>
        <v>2</v>
      </c>
      <c r="F66" s="0" t="n">
        <f aca="false">IF(ISBLANK(C66),"",COUNTIF(C:C,C66))</f>
        <v>6</v>
      </c>
    </row>
    <row r="67" customFormat="false" ht="12.8" hidden="false" customHeight="false" outlineLevel="0" collapsed="false">
      <c r="A67" s="21" t="s">
        <v>90</v>
      </c>
      <c r="B67" s="11" t="s">
        <v>71</v>
      </c>
      <c r="C67" s="12" t="s">
        <v>73</v>
      </c>
      <c r="D67" s="0" t="n">
        <f aca="false">IF(ISBLANK(A67),"",COUNTIF(A:A,A67))</f>
        <v>7</v>
      </c>
      <c r="E67" s="0" t="n">
        <f aca="false">IF(ISBLANK(B67),"",COUNTIF(B:B,B67))</f>
        <v>10</v>
      </c>
      <c r="F67" s="0" t="n">
        <f aca="false">IF(ISBLANK(C67),"",COUNTIF(C:C,C67))</f>
        <v>11</v>
      </c>
    </row>
    <row r="68" customFormat="false" ht="12.8" hidden="false" customHeight="false" outlineLevel="0" collapsed="false">
      <c r="A68" s="21" t="s">
        <v>90</v>
      </c>
      <c r="B68" s="8" t="s">
        <v>72</v>
      </c>
      <c r="C68" s="17" t="s">
        <v>78</v>
      </c>
      <c r="D68" s="0" t="n">
        <f aca="false">IF(ISBLANK(A68),"",COUNTIF(A:A,A68))</f>
        <v>7</v>
      </c>
      <c r="E68" s="0" t="n">
        <f aca="false">IF(ISBLANK(B68),"",COUNTIF(B:B,B68))</f>
        <v>9</v>
      </c>
      <c r="F68" s="0" t="n">
        <f aca="false">IF(ISBLANK(C68),"",COUNTIF(C:C,C68))</f>
        <v>6</v>
      </c>
    </row>
    <row r="69" customFormat="false" ht="12.8" hidden="false" customHeight="false" outlineLevel="0" collapsed="false">
      <c r="A69" s="21" t="s">
        <v>90</v>
      </c>
      <c r="B69" s="21" t="s">
        <v>83</v>
      </c>
      <c r="C69" s="8" t="s">
        <v>72</v>
      </c>
      <c r="D69" s="0" t="n">
        <f aca="false">IF(ISBLANK(A69),"",COUNTIF(A:A,A69))</f>
        <v>7</v>
      </c>
      <c r="E69" s="0" t="n">
        <f aca="false">IF(ISBLANK(B69),"",COUNTIF(B:B,B69))</f>
        <v>9</v>
      </c>
      <c r="F69" s="0" t="n">
        <f aca="false">IF(ISBLANK(C69),"",COUNTIF(C:C,C69))</f>
        <v>18</v>
      </c>
    </row>
    <row r="70" customFormat="false" ht="12.8" hidden="false" customHeight="false" outlineLevel="0" collapsed="false">
      <c r="A70" s="21" t="s">
        <v>90</v>
      </c>
      <c r="B70" s="21" t="s">
        <v>83</v>
      </c>
      <c r="C70" s="17" t="s">
        <v>78</v>
      </c>
      <c r="D70" s="0" t="n">
        <f aca="false">IF(ISBLANK(A70),"",COUNTIF(A:A,A70))</f>
        <v>7</v>
      </c>
      <c r="E70" s="0" t="n">
        <f aca="false">IF(ISBLANK(B70),"",COUNTIF(B:B,B70))</f>
        <v>9</v>
      </c>
      <c r="F70" s="0" t="n">
        <f aca="false">IF(ISBLANK(C70),"",COUNTIF(C:C,C70))</f>
        <v>6</v>
      </c>
    </row>
    <row r="71" customFormat="false" ht="12.8" hidden="false" customHeight="false" outlineLevel="0" collapsed="false">
      <c r="A71" s="21" t="s">
        <v>90</v>
      </c>
      <c r="B71" s="22" t="s">
        <v>84</v>
      </c>
      <c r="C71" s="8" t="s">
        <v>72</v>
      </c>
      <c r="D71" s="0" t="n">
        <f aca="false">IF(ISBLANK(A71),"",COUNTIF(A:A,A71))</f>
        <v>7</v>
      </c>
      <c r="E71" s="0" t="n">
        <f aca="false">IF(ISBLANK(B71),"",COUNTIF(B:B,B71))</f>
        <v>8</v>
      </c>
      <c r="F71" s="0" t="n">
        <f aca="false">IF(ISBLANK(C71),"",COUNTIF(C:C,C71))</f>
        <v>18</v>
      </c>
    </row>
    <row r="72" customFormat="false" ht="12.8" hidden="false" customHeight="false" outlineLevel="0" collapsed="false">
      <c r="A72" s="21" t="s">
        <v>90</v>
      </c>
      <c r="B72" s="22" t="s">
        <v>84</v>
      </c>
      <c r="C72" s="21" t="s">
        <v>83</v>
      </c>
      <c r="D72" s="0" t="n">
        <f aca="false">IF(ISBLANK(A72),"",COUNTIF(A:A,A72))</f>
        <v>7</v>
      </c>
      <c r="E72" s="0" t="n">
        <f aca="false">IF(ISBLANK(B72),"",COUNTIF(B:B,B72))</f>
        <v>8</v>
      </c>
      <c r="F72" s="0" t="n">
        <f aca="false">IF(ISBLANK(C72),"",COUNTIF(C:C,C72))</f>
        <v>3</v>
      </c>
    </row>
    <row r="73" customFormat="false" ht="12.8" hidden="false" customHeight="false" outlineLevel="0" collapsed="false">
      <c r="A73" s="21" t="s">
        <v>90</v>
      </c>
      <c r="B73" s="26" t="s">
        <v>91</v>
      </c>
      <c r="C73" s="8" t="s">
        <v>72</v>
      </c>
      <c r="D73" s="0" t="n">
        <f aca="false">IF(ISBLANK(A73),"",COUNTIF(A:A,A73))</f>
        <v>7</v>
      </c>
      <c r="E73" s="0" t="n">
        <f aca="false">IF(ISBLANK(B73),"",COUNTIF(B:B,B73))</f>
        <v>1</v>
      </c>
      <c r="F73" s="0" t="n">
        <f aca="false">IF(ISBLANK(C73),"",COUNTIF(C:C,C73))</f>
        <v>18</v>
      </c>
    </row>
    <row r="74" customFormat="false" ht="12.8" hidden="false" customHeight="false" outlineLevel="0" collapsed="false">
      <c r="A74" s="8" t="s">
        <v>36</v>
      </c>
      <c r="B74" s="18" t="s">
        <v>80</v>
      </c>
      <c r="C74" s="8" t="s">
        <v>72</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80</v>
      </c>
      <c r="C75" s="8" t="s">
        <v>72</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80</v>
      </c>
      <c r="C76" s="8" t="s">
        <v>72</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80</v>
      </c>
      <c r="C77" s="8" t="s">
        <v>72</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80</v>
      </c>
      <c r="C78" s="8" t="s">
        <v>72</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80</v>
      </c>
      <c r="C79" s="8" t="s">
        <v>72</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92</v>
      </c>
      <c r="B80" s="8" t="s">
        <v>72</v>
      </c>
      <c r="D80" s="0" t="n">
        <f aca="false">IF(ISBLANK(A80),"",COUNTIF(A:A,A80))</f>
        <v>4</v>
      </c>
      <c r="E80" s="0" t="n">
        <f aca="false">IF(ISBLANK(B80),"",COUNTIF(B:B,B80))</f>
        <v>9</v>
      </c>
      <c r="F80" s="0" t="str">
        <f aca="false">IF(ISBLANK(C80),"",COUNTIF(C:C,C80))</f>
        <v/>
      </c>
    </row>
    <row r="81" customFormat="false" ht="12.8" hidden="false" customHeight="false" outlineLevel="0" collapsed="false">
      <c r="A81" s="22" t="s">
        <v>92</v>
      </c>
      <c r="B81" s="22" t="s">
        <v>84</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92</v>
      </c>
      <c r="B82" s="22" t="s">
        <v>84</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92</v>
      </c>
      <c r="B83" s="17" t="s">
        <v>78</v>
      </c>
      <c r="D83" s="0" t="n">
        <f aca="false">IF(ISBLANK(A83),"",COUNTIF(A:A,A83))</f>
        <v>4</v>
      </c>
      <c r="E83" s="0" t="n">
        <f aca="false">IF(ISBLANK(B83),"",COUNTIF(B:B,B83))</f>
        <v>5</v>
      </c>
      <c r="F83" s="0" t="str">
        <f aca="false">IF(ISBLANK(C83),"",COUNTIF(C:C,C83))</f>
        <v/>
      </c>
    </row>
    <row r="84" customFormat="false" ht="12.8" hidden="false" customHeight="false" outlineLevel="0" collapsed="false">
      <c r="A84" s="25" t="s">
        <v>93</v>
      </c>
      <c r="B84" s="8" t="s">
        <v>72</v>
      </c>
      <c r="C84" s="18" t="s">
        <v>80</v>
      </c>
      <c r="D84" s="0" t="n">
        <f aca="false">IF(ISBLANK(A84),"",COUNTIF(A:A,A84))</f>
        <v>3</v>
      </c>
      <c r="E84" s="0" t="n">
        <f aca="false">IF(ISBLANK(B84),"",COUNTIF(B:B,B84))</f>
        <v>9</v>
      </c>
      <c r="F84" s="0" t="n">
        <f aca="false">IF(ISBLANK(C84),"",COUNTIF(C:C,C84))</f>
        <v>5</v>
      </c>
    </row>
    <row r="85" customFormat="false" ht="12.8" hidden="false" customHeight="false" outlineLevel="0" collapsed="false">
      <c r="A85" s="25" t="s">
        <v>93</v>
      </c>
      <c r="B85" s="20" t="s">
        <v>82</v>
      </c>
      <c r="C85" s="18" t="s">
        <v>80</v>
      </c>
      <c r="D85" s="0" t="n">
        <f aca="false">IF(ISBLANK(A85),"",COUNTIF(A:A,A85))</f>
        <v>3</v>
      </c>
      <c r="E85" s="0" t="n">
        <f aca="false">IF(ISBLANK(B85),"",COUNTIF(B:B,B85))</f>
        <v>5</v>
      </c>
      <c r="F85" s="0" t="n">
        <f aca="false">IF(ISBLANK(C85),"",COUNTIF(C:C,C85))</f>
        <v>5</v>
      </c>
    </row>
    <row r="86" customFormat="false" ht="12.8" hidden="false" customHeight="false" outlineLevel="0" collapsed="false">
      <c r="A86" s="25" t="s">
        <v>93</v>
      </c>
      <c r="B86" s="25" t="s">
        <v>88</v>
      </c>
      <c r="C86" s="18" t="s">
        <v>80</v>
      </c>
      <c r="D86" s="0" t="n">
        <f aca="false">IF(ISBLANK(A86),"",COUNTIF(A:A,A86))</f>
        <v>3</v>
      </c>
      <c r="E86" s="0" t="n">
        <f aca="false">IF(ISBLANK(B86),"",COUNTIF(B:B,B86))</f>
        <v>2</v>
      </c>
      <c r="F86" s="0" t="n">
        <f aca="false">IF(ISBLANK(C86),"",COUNTIF(C:C,C86))</f>
        <v>5</v>
      </c>
    </row>
    <row r="87" customFormat="false" ht="12.8" hidden="false" customHeight="false" outlineLevel="0" collapsed="false">
      <c r="A87" s="19" t="s">
        <v>94</v>
      </c>
      <c r="B87" s="14" t="s">
        <v>75</v>
      </c>
      <c r="C87" s="18" t="s">
        <v>80</v>
      </c>
      <c r="D87" s="0" t="n">
        <f aca="false">IF(ISBLANK(A87),"",COUNTIF(A:A,A87))</f>
        <v>3</v>
      </c>
      <c r="E87" s="0" t="n">
        <f aca="false">IF(ISBLANK(B87),"",COUNTIF(B:B,B87))</f>
        <v>9</v>
      </c>
      <c r="F87" s="0" t="n">
        <f aca="false">IF(ISBLANK(C87),"",COUNTIF(C:C,C87))</f>
        <v>5</v>
      </c>
    </row>
    <row r="88" customFormat="false" ht="12.8" hidden="false" customHeight="false" outlineLevel="0" collapsed="false">
      <c r="A88" s="19" t="s">
        <v>94</v>
      </c>
      <c r="B88" s="15" t="s">
        <v>76</v>
      </c>
      <c r="C88" s="14" t="s">
        <v>75</v>
      </c>
      <c r="D88" s="0" t="n">
        <f aca="false">IF(ISBLANK(A88),"",COUNTIF(A:A,A88))</f>
        <v>3</v>
      </c>
      <c r="E88" s="0" t="n">
        <f aca="false">IF(ISBLANK(B88),"",COUNTIF(B:B,B88))</f>
        <v>7</v>
      </c>
      <c r="F88" s="0" t="n">
        <f aca="false">IF(ISBLANK(C88),"",COUNTIF(C:C,C88))</f>
        <v>3</v>
      </c>
    </row>
    <row r="89" customFormat="false" ht="12.8" hidden="false" customHeight="false" outlineLevel="0" collapsed="false">
      <c r="A89" s="19" t="s">
        <v>94</v>
      </c>
      <c r="B89" s="19" t="s">
        <v>81</v>
      </c>
      <c r="C89" s="19" t="s">
        <v>81</v>
      </c>
      <c r="D89" s="0" t="n">
        <f aca="false">IF(ISBLANK(A89),"",COUNTIF(A:A,A89))</f>
        <v>3</v>
      </c>
      <c r="E89" s="0" t="n">
        <f aca="false">IF(ISBLANK(B89),"",COUNTIF(B:B,B89))</f>
        <v>5</v>
      </c>
      <c r="F89" s="0" t="n">
        <f aca="false">IF(ISBLANK(C89),"",COUNTIF(C:C,C89))</f>
        <v>3</v>
      </c>
    </row>
    <row r="90" customFormat="false" ht="12.8" hidden="false" customHeight="false" outlineLevel="0" collapsed="false">
      <c r="A90" s="27" t="s">
        <v>95</v>
      </c>
      <c r="B90" s="14" t="s">
        <v>75</v>
      </c>
      <c r="C90" s="15" t="s">
        <v>76</v>
      </c>
      <c r="D90" s="0" t="n">
        <f aca="false">IF(ISBLANK(A90),"",COUNTIF(A:A,A90))</f>
        <v>3</v>
      </c>
      <c r="E90" s="0" t="n">
        <f aca="false">IF(ISBLANK(B90),"",COUNTIF(B:B,B90))</f>
        <v>9</v>
      </c>
      <c r="F90" s="0" t="n">
        <f aca="false">IF(ISBLANK(C90),"",COUNTIF(C:C,C90))</f>
        <v>8</v>
      </c>
    </row>
    <row r="91" customFormat="false" ht="12.8" hidden="false" customHeight="false" outlineLevel="0" collapsed="false">
      <c r="A91" s="27" t="s">
        <v>95</v>
      </c>
      <c r="B91" s="27" t="s">
        <v>96</v>
      </c>
      <c r="C91" s="28" t="s">
        <v>97</v>
      </c>
      <c r="D91" s="0" t="n">
        <f aca="false">IF(ISBLANK(A91),"",COUNTIF(A:A,A91))</f>
        <v>3</v>
      </c>
      <c r="E91" s="0" t="n">
        <f aca="false">IF(ISBLANK(B91),"",COUNTIF(B:B,B91))</f>
        <v>2</v>
      </c>
      <c r="F91" s="0" t="n">
        <f aca="false">IF(ISBLANK(C91),"",COUNTIF(C:C,C91))</f>
        <v>2</v>
      </c>
    </row>
    <row r="92" customFormat="false" ht="12.8" hidden="false" customHeight="false" outlineLevel="0" collapsed="false">
      <c r="A92" s="27" t="s">
        <v>95</v>
      </c>
      <c r="B92" s="27" t="s">
        <v>96</v>
      </c>
      <c r="C92" s="28" t="s">
        <v>97</v>
      </c>
      <c r="D92" s="0" t="n">
        <f aca="false">IF(ISBLANK(A92),"",COUNTIF(A:A,A92))</f>
        <v>3</v>
      </c>
      <c r="E92" s="0" t="n">
        <f aca="false">IF(ISBLANK(B92),"",COUNTIF(B:B,B92))</f>
        <v>2</v>
      </c>
      <c r="F92" s="0" t="n">
        <f aca="false">IF(ISBLANK(C92),"",COUNTIF(C:C,C92))</f>
        <v>2</v>
      </c>
    </row>
    <row r="93" customFormat="false" ht="12.8" hidden="false" customHeight="false" outlineLevel="0" collapsed="false">
      <c r="A93" s="16" t="s">
        <v>98</v>
      </c>
      <c r="B93" s="15" t="s">
        <v>76</v>
      </c>
      <c r="C93" s="16" t="s">
        <v>77</v>
      </c>
      <c r="D93" s="0" t="n">
        <f aca="false">IF(ISBLANK(A93),"",COUNTIF(A:A,A93))</f>
        <v>1</v>
      </c>
      <c r="E93" s="0" t="n">
        <f aca="false">IF(ISBLANK(B93),"",COUNTIF(B:B,B93))</f>
        <v>7</v>
      </c>
      <c r="F93" s="0" t="n">
        <f aca="false">IF(ISBLANK(C93),"",COUNTIF(C:C,C93))</f>
        <v>2</v>
      </c>
    </row>
  </sheetData>
  <autoFilter ref="A1:F9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6" activeCellId="0" sqref="A16"/>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64</v>
      </c>
      <c r="B1" s="3" t="s">
        <v>99</v>
      </c>
      <c r="D1" s="9" t="s">
        <v>65</v>
      </c>
      <c r="E1" s="3" t="s">
        <v>99</v>
      </c>
      <c r="G1" s="9" t="s">
        <v>66</v>
      </c>
      <c r="H1" s="3" t="s">
        <v>99</v>
      </c>
      <c r="J1" s="9" t="s">
        <v>100</v>
      </c>
      <c r="K1" s="3" t="s">
        <v>99</v>
      </c>
    </row>
    <row r="2" customFormat="false" ht="12.8" hidden="false" customHeight="false" outlineLevel="0" collapsed="false">
      <c r="A2" s="10" t="s">
        <v>70</v>
      </c>
      <c r="B2" s="1" t="n">
        <f aca="false">COUNTIF(Tatjes!A:A,A2)</f>
        <v>16</v>
      </c>
      <c r="D2" s="11" t="s">
        <v>71</v>
      </c>
      <c r="E2" s="1" t="n">
        <f aca="false">COUNTIF(Tatjes!B:B,D2)</f>
        <v>10</v>
      </c>
      <c r="G2" s="8" t="s">
        <v>72</v>
      </c>
      <c r="H2" s="1" t="n">
        <f aca="false">COUNTIF(Tatjes!C:C,G2)</f>
        <v>18</v>
      </c>
      <c r="J2" s="8" t="s">
        <v>72</v>
      </c>
      <c r="K2" s="1" t="n">
        <f aca="false">COUNTIF(Tatjes!B:B,J2)*2+COUNTIF(Tatjes!C:C,J2)</f>
        <v>36</v>
      </c>
    </row>
    <row r="3" customFormat="false" ht="12.8" hidden="false" customHeight="false" outlineLevel="0" collapsed="false">
      <c r="A3" s="11" t="s">
        <v>33</v>
      </c>
      <c r="B3" s="1" t="n">
        <f aca="false">COUNTIF(Tatjes!A:A,A3)</f>
        <v>16</v>
      </c>
      <c r="D3" s="8" t="s">
        <v>72</v>
      </c>
      <c r="E3" s="1" t="n">
        <f aca="false">COUNTIF(Tatjes!B:B,D3)</f>
        <v>9</v>
      </c>
      <c r="G3" s="12" t="s">
        <v>73</v>
      </c>
      <c r="H3" s="1" t="n">
        <f aca="false">COUNTIF(Tatjes!C:C,G3)</f>
        <v>11</v>
      </c>
      <c r="J3" s="11" t="s">
        <v>71</v>
      </c>
      <c r="K3" s="1" t="n">
        <f aca="false">COUNTIF(Tatjes!B:B,J3)*2+COUNTIF(Tatjes!C:C,J3)</f>
        <v>26</v>
      </c>
    </row>
    <row r="4" customFormat="false" ht="12.8" hidden="false" customHeight="false" outlineLevel="0" collapsed="false">
      <c r="A4" s="22" t="s">
        <v>86</v>
      </c>
      <c r="B4" s="1" t="n">
        <f aca="false">COUNTIF(Tatjes!A:A,A4)</f>
        <v>12</v>
      </c>
      <c r="D4" s="21" t="s">
        <v>83</v>
      </c>
      <c r="E4" s="1" t="n">
        <f aca="false">COUNTIF(Tatjes!B:B,D4)</f>
        <v>9</v>
      </c>
      <c r="G4" s="15" t="s">
        <v>76</v>
      </c>
      <c r="H4" s="1" t="n">
        <f aca="false">COUNTIF(Tatjes!C:C,G4)</f>
        <v>8</v>
      </c>
      <c r="J4" s="15" t="s">
        <v>76</v>
      </c>
      <c r="K4" s="1" t="n">
        <f aca="false">COUNTIF(Tatjes!B:B,J4)*2+COUNTIF(Tatjes!C:C,J4)</f>
        <v>22</v>
      </c>
    </row>
    <row r="5" customFormat="false" ht="12.8" hidden="false" customHeight="false" outlineLevel="0" collapsed="false">
      <c r="A5" s="20" t="s">
        <v>19</v>
      </c>
      <c r="B5" s="1" t="n">
        <f aca="false">COUNTIF(Tatjes!A:A,A5)</f>
        <v>11</v>
      </c>
      <c r="D5" s="14" t="s">
        <v>75</v>
      </c>
      <c r="E5" s="1" t="n">
        <f aca="false">COUNTIF(Tatjes!B:B,D5)</f>
        <v>9</v>
      </c>
      <c r="G5" s="11" t="s">
        <v>71</v>
      </c>
      <c r="H5" s="1" t="n">
        <f aca="false">COUNTIF(Tatjes!C:C,G5)</f>
        <v>6</v>
      </c>
      <c r="J5" s="21" t="s">
        <v>83</v>
      </c>
      <c r="K5" s="1" t="n">
        <f aca="false">COUNTIF(Tatjes!B:B,J5)*2+COUNTIF(Tatjes!C:C,J5)</f>
        <v>21</v>
      </c>
    </row>
    <row r="6" customFormat="false" ht="12.8" hidden="false" customHeight="false" outlineLevel="0" collapsed="false">
      <c r="A6" s="15" t="s">
        <v>89</v>
      </c>
      <c r="B6" s="1" t="n">
        <f aca="false">COUNTIF(Tatjes!A:A,A6)</f>
        <v>10</v>
      </c>
      <c r="D6" s="22" t="s">
        <v>84</v>
      </c>
      <c r="E6" s="1" t="n">
        <f aca="false">COUNTIF(Tatjes!B:B,D6)</f>
        <v>8</v>
      </c>
      <c r="G6" s="17" t="s">
        <v>78</v>
      </c>
      <c r="H6" s="1" t="n">
        <f aca="false">COUNTIF(Tatjes!C:C,G6)</f>
        <v>6</v>
      </c>
      <c r="J6" s="14" t="s">
        <v>75</v>
      </c>
      <c r="K6" s="1" t="n">
        <f aca="false">COUNTIF(Tatjes!B:B,J6)*2+COUNTIF(Tatjes!C:C,J6)</f>
        <v>21</v>
      </c>
    </row>
    <row r="7" customFormat="false" ht="12.8" hidden="false" customHeight="false" outlineLevel="0" collapsed="false">
      <c r="A7" s="21" t="s">
        <v>90</v>
      </c>
      <c r="B7" s="1" t="n">
        <f aca="false">COUNTIF(Tatjes!A:A,A7)</f>
        <v>7</v>
      </c>
      <c r="D7" s="16" t="s">
        <v>77</v>
      </c>
      <c r="E7" s="1" t="n">
        <f aca="false">COUNTIF(Tatjes!B:B,D7)</f>
        <v>7</v>
      </c>
      <c r="G7" s="18" t="s">
        <v>80</v>
      </c>
      <c r="H7" s="1" t="n">
        <f aca="false">COUNTIF(Tatjes!C:C,G7)</f>
        <v>5</v>
      </c>
      <c r="J7" s="18" t="s">
        <v>80</v>
      </c>
      <c r="K7" s="1" t="n">
        <f aca="false">COUNTIF(Tatjes!B:B,J7)*2+COUNTIF(Tatjes!C:C,J7)</f>
        <v>19</v>
      </c>
    </row>
    <row r="8" customFormat="false" ht="12.8" hidden="false" customHeight="false" outlineLevel="0" collapsed="false">
      <c r="A8" s="8" t="s">
        <v>36</v>
      </c>
      <c r="B8" s="1" t="n">
        <f aca="false">COUNTIF(Tatjes!A:A,A8)</f>
        <v>6</v>
      </c>
      <c r="D8" s="15" t="s">
        <v>76</v>
      </c>
      <c r="E8" s="1" t="n">
        <f aca="false">COUNTIF(Tatjes!B:B,D8)</f>
        <v>7</v>
      </c>
      <c r="G8" s="19" t="s">
        <v>81</v>
      </c>
      <c r="H8" s="1" t="n">
        <f aca="false">COUNTIF(Tatjes!C:C,G8)</f>
        <v>3</v>
      </c>
      <c r="J8" s="22" t="s">
        <v>84</v>
      </c>
      <c r="K8" s="1" t="n">
        <f aca="false">COUNTIF(Tatjes!B:B,J8)*2+COUNTIF(Tatjes!C:C,J8)</f>
        <v>16</v>
      </c>
    </row>
    <row r="9" customFormat="false" ht="12.8" hidden="false" customHeight="false" outlineLevel="0" collapsed="false">
      <c r="A9" s="22" t="s">
        <v>92</v>
      </c>
      <c r="B9" s="1" t="n">
        <f aca="false">COUNTIF(Tatjes!A:A,A9)</f>
        <v>4</v>
      </c>
      <c r="D9" s="18" t="s">
        <v>80</v>
      </c>
      <c r="E9" s="1" t="n">
        <f aca="false">COUNTIF(Tatjes!B:B,D9)</f>
        <v>7</v>
      </c>
      <c r="G9" s="21" t="s">
        <v>83</v>
      </c>
      <c r="H9" s="1" t="n">
        <f aca="false">COUNTIF(Tatjes!C:C,G9)</f>
        <v>3</v>
      </c>
      <c r="J9" s="17" t="s">
        <v>78</v>
      </c>
      <c r="K9" s="1" t="n">
        <f aca="false">COUNTIF(Tatjes!B:B,J9)*2+COUNTIF(Tatjes!C:C,J9)</f>
        <v>16</v>
      </c>
    </row>
    <row r="10" customFormat="false" ht="12.8" hidden="false" customHeight="false" outlineLevel="0" collapsed="false">
      <c r="A10" s="25" t="s">
        <v>93</v>
      </c>
      <c r="B10" s="1" t="n">
        <f aca="false">COUNTIF(Tatjes!A:A,A10)</f>
        <v>3</v>
      </c>
      <c r="D10" s="19" t="s">
        <v>81</v>
      </c>
      <c r="E10" s="1" t="n">
        <f aca="false">COUNTIF(Tatjes!B:B,D10)</f>
        <v>5</v>
      </c>
      <c r="G10" s="13" t="s">
        <v>74</v>
      </c>
      <c r="H10" s="1" t="n">
        <f aca="false">COUNTIF(Tatjes!C:C,G10)</f>
        <v>3</v>
      </c>
      <c r="J10" s="16" t="s">
        <v>77</v>
      </c>
      <c r="K10" s="1" t="n">
        <f aca="false">COUNTIF(Tatjes!B:B,J10)*2+COUNTIF(Tatjes!C:C,J10)</f>
        <v>16</v>
      </c>
    </row>
    <row r="11" customFormat="false" ht="12.8" hidden="false" customHeight="false" outlineLevel="0" collapsed="false">
      <c r="A11" s="19" t="s">
        <v>94</v>
      </c>
      <c r="B11" s="1" t="n">
        <f aca="false">COUNTIF(Tatjes!A:A,A11)</f>
        <v>3</v>
      </c>
      <c r="D11" s="17" t="s">
        <v>78</v>
      </c>
      <c r="E11" s="1" t="n">
        <f aca="false">COUNTIF(Tatjes!B:B,D11)</f>
        <v>5</v>
      </c>
      <c r="G11" s="14" t="s">
        <v>75</v>
      </c>
      <c r="H11" s="1" t="n">
        <f aca="false">COUNTIF(Tatjes!C:C,G11)</f>
        <v>3</v>
      </c>
      <c r="J11" s="12" t="s">
        <v>73</v>
      </c>
      <c r="K11" s="1" t="n">
        <f aca="false">COUNTIF(Tatjes!B:B,J11)*2+COUNTIF(Tatjes!C:C,J11)</f>
        <v>15</v>
      </c>
    </row>
    <row r="12" customFormat="false" ht="12.8" hidden="false" customHeight="false" outlineLevel="0" collapsed="false">
      <c r="A12" s="27" t="s">
        <v>95</v>
      </c>
      <c r="B12" s="1" t="n">
        <f aca="false">COUNTIF(Tatjes!A:A,A12)</f>
        <v>3</v>
      </c>
      <c r="D12" s="20" t="s">
        <v>82</v>
      </c>
      <c r="E12" s="1" t="n">
        <f aca="false">COUNTIF(Tatjes!B:B,D12)</f>
        <v>5</v>
      </c>
      <c r="G12" s="28" t="s">
        <v>97</v>
      </c>
      <c r="H12" s="1" t="n">
        <f aca="false">COUNTIF(Tatjes!C:C,G12)</f>
        <v>2</v>
      </c>
      <c r="J12" s="19" t="s">
        <v>81</v>
      </c>
      <c r="K12" s="1" t="n">
        <f aca="false">COUNTIF(Tatjes!B:B,J12)*2+COUNTIF(Tatjes!C:C,J12)</f>
        <v>13</v>
      </c>
    </row>
    <row r="13" customFormat="false" ht="12.8" hidden="false" customHeight="false" outlineLevel="0" collapsed="false">
      <c r="A13" s="16" t="s">
        <v>98</v>
      </c>
      <c r="B13" s="1" t="n">
        <f aca="false">COUNTIF(Tatjes!A:A,A13)</f>
        <v>1</v>
      </c>
      <c r="D13" s="12" t="s">
        <v>73</v>
      </c>
      <c r="E13" s="1" t="n">
        <f aca="false">COUNTIF(Tatjes!B:B,D13)</f>
        <v>2</v>
      </c>
      <c r="G13" s="16" t="s">
        <v>77</v>
      </c>
      <c r="H13" s="1" t="n">
        <f aca="false">COUNTIF(Tatjes!C:C,G13)</f>
        <v>2</v>
      </c>
      <c r="J13" s="20" t="s">
        <v>82</v>
      </c>
      <c r="K13" s="1" t="n">
        <f aca="false">COUNTIF(Tatjes!B:B,J13)*2+COUNTIF(Tatjes!C:C,J13)</f>
        <v>11</v>
      </c>
    </row>
    <row r="14" customFormat="false" ht="12.8" hidden="false" customHeight="false" outlineLevel="0" collapsed="false">
      <c r="D14" s="27" t="s">
        <v>96</v>
      </c>
      <c r="E14" s="1" t="n">
        <f aca="false">COUNTIF(Tatjes!B:B,D14)</f>
        <v>2</v>
      </c>
      <c r="G14" s="20" t="s">
        <v>82</v>
      </c>
      <c r="H14" s="1" t="n">
        <f aca="false">COUNTIF(Tatjes!C:C,G14)</f>
        <v>1</v>
      </c>
      <c r="J14" s="13" t="s">
        <v>74</v>
      </c>
      <c r="K14" s="1" t="n">
        <f aca="false">COUNTIF(Tatjes!B:B,J14)*2+COUNTIF(Tatjes!C:C,J14)</f>
        <v>7</v>
      </c>
    </row>
    <row r="15" customFormat="false" ht="12.8" hidden="false" customHeight="false" outlineLevel="0" collapsed="false">
      <c r="A15" s="9" t="s">
        <v>18</v>
      </c>
      <c r="B15" s="3" t="n">
        <f aca="false">COUNTA(Tatjes!A:A)-1</f>
        <v>92</v>
      </c>
      <c r="D15" s="13" t="s">
        <v>74</v>
      </c>
      <c r="E15" s="1" t="n">
        <f aca="false">COUNTIF(Tatjes!B:B,D15)</f>
        <v>2</v>
      </c>
      <c r="G15" s="23" t="s">
        <v>85</v>
      </c>
      <c r="H15" s="1" t="n">
        <f aca="false">COUNTIF(Tatjes!C:C,G15)</f>
        <v>1</v>
      </c>
      <c r="J15" s="27" t="s">
        <v>96</v>
      </c>
      <c r="K15" s="1" t="n">
        <f aca="false">COUNTIF(Tatjes!B:B,J15)*2+COUNTIF(Tatjes!C:C,J15)</f>
        <v>4</v>
      </c>
    </row>
    <row r="16" customFormat="false" ht="12.8" hidden="false" customHeight="false" outlineLevel="0" collapsed="false">
      <c r="D16" s="24" t="s">
        <v>87</v>
      </c>
      <c r="E16" s="1" t="n">
        <f aca="false">COUNTIF(Tatjes!B:B,D16)</f>
        <v>2</v>
      </c>
      <c r="G16" s="27" t="s">
        <v>96</v>
      </c>
      <c r="H16" s="1" t="n">
        <f aca="false">COUNTIF(Tatjes!C:C,G16)</f>
        <v>0</v>
      </c>
      <c r="J16" s="24" t="s">
        <v>87</v>
      </c>
      <c r="K16" s="1" t="n">
        <f aca="false">COUNTIF(Tatjes!B:B,J16)*2+COUNTIF(Tatjes!C:C,J16)</f>
        <v>4</v>
      </c>
    </row>
    <row r="17" customFormat="false" ht="12.8" hidden="false" customHeight="false" outlineLevel="0" collapsed="false">
      <c r="D17" s="25" t="s">
        <v>88</v>
      </c>
      <c r="E17" s="1" t="n">
        <f aca="false">COUNTIF(Tatjes!B:B,D17)</f>
        <v>2</v>
      </c>
      <c r="G17" s="22" t="s">
        <v>84</v>
      </c>
      <c r="H17" s="1" t="n">
        <f aca="false">COUNTIF(Tatjes!C:C,G17)</f>
        <v>0</v>
      </c>
      <c r="J17" s="25" t="s">
        <v>88</v>
      </c>
      <c r="K17" s="1" t="n">
        <f aca="false">COUNTIF(Tatjes!B:B,J17)*2+COUNTIF(Tatjes!C:C,J17)</f>
        <v>4</v>
      </c>
    </row>
    <row r="18" customFormat="false" ht="12.8" hidden="false" customHeight="false" outlineLevel="0" collapsed="false">
      <c r="D18" s="26" t="s">
        <v>91</v>
      </c>
      <c r="E18" s="1" t="n">
        <f aca="false">COUNTIF(Tatjes!B:B,D18)</f>
        <v>1</v>
      </c>
      <c r="G18" s="24" t="s">
        <v>87</v>
      </c>
      <c r="H18" s="1" t="n">
        <f aca="false">COUNTIF(Tatjes!C:C,G18)</f>
        <v>0</v>
      </c>
      <c r="J18" s="28" t="s">
        <v>97</v>
      </c>
      <c r="K18" s="1" t="n">
        <f aca="false">COUNTIF(Tatjes!B:B,J18)*2+COUNTIF(Tatjes!C:C,J18)</f>
        <v>2</v>
      </c>
    </row>
    <row r="19" customFormat="false" ht="12.8" hidden="false" customHeight="false" outlineLevel="0" collapsed="false">
      <c r="D19" s="28" t="s">
        <v>97</v>
      </c>
      <c r="E19" s="1" t="n">
        <f aca="false">COUNTIF(Tatjes!B:B,D19)</f>
        <v>0</v>
      </c>
      <c r="G19" s="26" t="s">
        <v>91</v>
      </c>
      <c r="H19" s="1" t="n">
        <f aca="false">COUNTIF(Tatjes!C:C,G19)</f>
        <v>0</v>
      </c>
      <c r="J19" s="26" t="s">
        <v>91</v>
      </c>
      <c r="K19" s="1" t="n">
        <f aca="false">COUNTIF(Tatjes!B:B,J19)*2+COUNTIF(Tatjes!C:C,J19)</f>
        <v>2</v>
      </c>
    </row>
    <row r="20" customFormat="false" ht="12.8" hidden="false" customHeight="false" outlineLevel="0" collapsed="false">
      <c r="D20" s="23" t="s">
        <v>85</v>
      </c>
      <c r="E20" s="1" t="n">
        <f aca="false">COUNTIF(Tatjes!B:B,D20)</f>
        <v>0</v>
      </c>
      <c r="G20" s="25" t="s">
        <v>88</v>
      </c>
      <c r="H20" s="1" t="n">
        <f aca="false">COUNTIF(Tatjes!C:C,G20)</f>
        <v>0</v>
      </c>
      <c r="J20" s="23" t="s">
        <v>85</v>
      </c>
      <c r="K20" s="1" t="n">
        <f aca="false">COUNTIF(Tatjes!B:B,J20)*2+COUNTIF(Tatjes!C:C,J20)</f>
        <v>1</v>
      </c>
    </row>
  </sheetData>
  <autoFilter ref="A1:B1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165</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2026-06-03T11:48:06Z</dcterms:modified>
  <cp:revision>9</cp:revision>
  <dc:subject/>
  <dc:title/>
</cp:coreProperties>
</file>