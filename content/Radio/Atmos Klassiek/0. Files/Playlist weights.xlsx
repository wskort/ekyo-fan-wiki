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<sst xmlns="http://schemas.openxmlformats.org/spreadsheetml/2006/main" count="48" uniqueCount="32">
  <si>
    <t xml:space="preserve">List</t>
  </si>
  <si>
    <t xml:space="preserve">Weight</t>
  </si>
  <si>
    <t xml:space="preserve">Length</t>
  </si>
  <si>
    <t xml:space="preserve">%/list</t>
  </si>
  <si>
    <t xml:space="preserve">%/song</t>
  </si>
  <si>
    <t xml:space="preserve">%list</t>
  </si>
  <si>
    <t xml:space="preserve">%/ad</t>
  </si>
  <si>
    <t xml:space="preserve">%/block</t>
  </si>
  <si>
    <t xml:space="preserve">klassiek</t>
  </si>
  <si>
    <t xml:space="preserve">nacht-ghibli</t>
  </si>
  <si>
    <t xml:space="preserve">ads-common</t>
  </si>
  <si>
    <t xml:space="preserve">jingles-middle</t>
  </si>
  <si>
    <t xml:space="preserve">klassiek-baroque</t>
  </si>
  <si>
    <t xml:space="preserve">nacht-hits</t>
  </si>
  <si>
    <t xml:space="preserve">ads-rare</t>
  </si>
  <si>
    <t xml:space="preserve">jingles-post-ad</t>
  </si>
  <si>
    <t xml:space="preserve">klassiek-draaiorgel</t>
  </si>
  <si>
    <t xml:space="preserve">nacht-klassiek</t>
  </si>
  <si>
    <t xml:space="preserve">ads-uncommon</t>
  </si>
  <si>
    <t xml:space="preserve">jingles-pre-ad</t>
  </si>
  <si>
    <t xml:space="preserve">Klassiek-fanfare</t>
  </si>
  <si>
    <t xml:space="preserve">nacht-klassiek-inspired</t>
  </si>
  <si>
    <t xml:space="preserve">Total</t>
  </si>
  <si>
    <t xml:space="preserve">klassiek-ghibli</t>
  </si>
  <si>
    <t xml:space="preserve">nacht-luit</t>
  </si>
  <si>
    <t xml:space="preserve">klassiek-hits</t>
  </si>
  <si>
    <t xml:space="preserve">nacht-regency</t>
  </si>
  <si>
    <t xml:space="preserve">klassiek-inspired</t>
  </si>
  <si>
    <t xml:space="preserve">nacht-tango</t>
  </si>
  <si>
    <t xml:space="preserve">klassiek-luit</t>
  </si>
  <si>
    <t xml:space="preserve">klassiek-regency</t>
  </si>
  <si>
    <t xml:space="preserve">klassiek-tango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</si>
</sst>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ds" displayName="ads" ref="M1:R5" headerRowCount="1" totalsRowCount="1" totalsRowShown="1">
  <autoFilter ref="M1:R5"/>
  <tableColumns count="6">
    <tableColumn id="1" name="List"/>
    <tableColumn id="2" name="Weight"/>
    <tableColumn id="3" name="Length"/>
    <tableColumn id="4" name="%list"/>
    <tableColumn id="5" name="%/ad"/>
    <tableColumn id="6" name="%/block"/>
  </tableColumns>
</table>
</file>

<file path=xl/tables/table2.xml><?xml version="1.0" encoding="utf-8"?>
<table xmlns="http://schemas.openxmlformats.org/spreadsheetml/2006/main" id="2" name="daytime" displayName="daytime" ref="A1:E11" headerRowCount="1" totalsRowCount="1" totalsRowShown="1">
  <autoFilter ref="A1:E11"/>
  <tableColumns count="5">
    <tableColumn id="1" name="List"/>
    <tableColumn id="2" name="Weight"/>
    <tableColumn id="3" name="Length"/>
    <tableColumn id="4" name="%/list"/>
    <tableColumn id="5" name="%/song"/>
  </tableColumns>
</table>
</file>

<file path=xl/tables/table3.xml><?xml version="1.0" encoding="utf-8"?>
<table xmlns="http://schemas.openxmlformats.org/spreadsheetml/2006/main" id="3" name="jingles" displayName="jingles" ref="T1:X5" headerRowCount="1" totalsRowCount="1" totalsRowShown="1">
  <autoFilter ref="T1:X5"/>
  <tableColumns count="5">
    <tableColumn id="1" name="List"/>
    <tableColumn id="2" name="Weight"/>
    <tableColumn id="3" name="Length"/>
    <tableColumn id="4" name="%list"/>
    <tableColumn id="5" name="%/ad"/>
  </tableColumns>
</table>
</file>

<file path=xl/tables/table4.xml><?xml version="1.0" encoding="utf-8"?>
<table xmlns="http://schemas.openxmlformats.org/spreadsheetml/2006/main" id="4" name="nighttime" displayName="nighttime" ref="G1:K9" headerRowCount="1" totalsRowCount="1" totalsRowShown="1">
  <autoFilter ref="G1:K9"/>
  <tableColumns count="5">
    <tableColumn id="1" name="List"/>
    <tableColumn id="2" name="Weight"/>
    <tableColumn id="3" name="Length"/>
    <tableColumn id="4" name="%/list"/>
    <tableColumn id="5" name="%/song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RowHeight="15" zeroHeight="false" outlineLevelRow="0" outlineLevelCol="0"/>
  <cols>
    <col collapsed="false" customWidth="true" hidden="false" outlineLevel="0" max="1" min="1" style="0" width="18.42"/>
    <col collapsed="false" customWidth="true" hidden="false" outlineLevel="0" max="2" min="2" style="0" width="9.71"/>
    <col collapsed="false" customWidth="true" hidden="false" outlineLevel="0" max="3" min="3" style="0" width="9.43"/>
    <col collapsed="false" customWidth="true" hidden="false" outlineLevel="0" max="4" min="4" style="0" width="8.43"/>
    <col collapsed="false" customWidth="true" hidden="false" outlineLevel="0" max="5" min="5" style="0" width="9.85"/>
    <col collapsed="false" customWidth="true" hidden="false" outlineLevel="0" max="6" min="6" style="0" width="8.48"/>
    <col collapsed="false" customWidth="true" hidden="false" outlineLevel="0" max="7" min="7" style="0" width="22.57"/>
    <col collapsed="false" customWidth="true" hidden="false" outlineLevel="0" max="8" min="8" style="0" width="9.71"/>
    <col collapsed="false" customWidth="true" hidden="false" outlineLevel="0" max="9" min="9" style="0" width="9.43"/>
    <col collapsed="false" customWidth="true" hidden="false" outlineLevel="0" max="10" min="10" style="0" width="8.43"/>
    <col collapsed="false" customWidth="true" hidden="false" outlineLevel="0" max="11" min="11" style="0" width="9.85"/>
    <col collapsed="false" customWidth="true" hidden="false" outlineLevel="0" max="12" min="12" style="0" width="8.48"/>
    <col collapsed="false" customWidth="true" hidden="false" outlineLevel="0" max="13" min="13" style="0" width="15.3"/>
    <col collapsed="false" customWidth="true" hidden="false" outlineLevel="0" max="14" min="14" style="0" width="9.71"/>
    <col collapsed="false" customWidth="true" hidden="false" outlineLevel="0" max="15" min="15" style="0" width="9.43"/>
    <col collapsed="false" customWidth="true" hidden="false" outlineLevel="0" max="17" min="16" style="0" width="7.7"/>
    <col collapsed="false" customWidth="true" hidden="false" outlineLevel="0" max="18" min="18" style="0" width="10.43"/>
    <col collapsed="false" customWidth="true" hidden="false" outlineLevel="0" max="19" min="19" style="0" width="8.48"/>
    <col collapsed="false" customWidth="true" hidden="false" outlineLevel="0" max="20" min="20" style="0" width="15.3"/>
    <col collapsed="false" customWidth="true" hidden="false" outlineLevel="0" max="21" min="21" style="0" width="9.71"/>
    <col collapsed="false" customWidth="true" hidden="false" outlineLevel="0" max="22" min="22" style="0" width="9.43"/>
    <col collapsed="false" customWidth="true" hidden="false" outlineLevel="0" max="24" min="23" style="0" width="7.7"/>
    <col collapsed="false" customWidth="true" hidden="false" outlineLevel="0" max="1025" min="25" style="0" width="8.48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M1" s="1" t="s">
        <v>0</v>
      </c>
      <c r="N1" s="1" t="s">
        <v>1</v>
      </c>
      <c r="O1" s="1" t="s">
        <v>2</v>
      </c>
      <c r="P1" s="1" t="s">
        <v>5</v>
      </c>
      <c r="Q1" s="1" t="s">
        <v>6</v>
      </c>
      <c r="R1" s="1" t="s">
        <v>7</v>
      </c>
      <c r="T1" s="1" t="s">
        <v>0</v>
      </c>
      <c r="U1" s="1" t="s">
        <v>1</v>
      </c>
      <c r="V1" s="1" t="s">
        <v>2</v>
      </c>
      <c r="W1" s="1" t="s">
        <v>5</v>
      </c>
      <c r="X1" s="1" t="s">
        <v>6</v>
      </c>
    </row>
    <row r="2" customFormat="false" ht="14.15" hidden="false" customHeight="false" outlineLevel="0" collapsed="false">
      <c r="A2" s="0" t="s">
        <v>8</v>
      </c>
      <c r="B2" s="0" t="n">
        <v>4</v>
      </c>
      <c r="C2" s="0" t="n">
        <v>19</v>
      </c>
      <c r="D2" s="2" t="n">
        <f aca="false">daytime[[#This Row],[Weight]]/$B$12</f>
        <v>0.121212121212121</v>
      </c>
      <c r="E2" s="2" t="n">
        <f aca="false">(daytime[[#This Row],[Weight]]/$B$12)/daytime[[#This Row],[Length]]</f>
        <v>0.00637958532695375</v>
      </c>
      <c r="G2" s="0" t="s">
        <v>9</v>
      </c>
      <c r="H2" s="0" t="n">
        <v>1</v>
      </c>
      <c r="I2" s="0" t="n">
        <v>1</v>
      </c>
      <c r="J2" s="2" t="n">
        <f aca="false">nighttime[[#This Row],[Weight]]/$H$9</f>
        <v>0.0357142857142857</v>
      </c>
      <c r="K2" s="2" t="n">
        <f aca="false">(nighttime[[#This Row],[Weight]]/$H$9)/nighttime[[#This Row],[Length]]</f>
        <v>0.0357142857142857</v>
      </c>
      <c r="M2" s="3" t="s">
        <v>10</v>
      </c>
      <c r="N2" s="3" t="n">
        <v>5</v>
      </c>
      <c r="O2" s="3" t="n">
        <v>9</v>
      </c>
      <c r="P2" s="4" t="n">
        <f aca="false">ads[[#This Row],[Weight]]/ads[[#Totals],[Weight]]</f>
        <v>0.5</v>
      </c>
      <c r="Q2" s="4" t="n">
        <f aca="false">(ads[[#This Row],[Weight]]/ads[[#Totals],[Weight]])/ads[[#This Row],[Length]]</f>
        <v>0.0555555555555556</v>
      </c>
      <c r="R2" s="4" t="n">
        <f aca="false">ads[[#This Row],[%/ad]]*4</f>
        <v>0.222222222222222</v>
      </c>
      <c r="T2" s="3" t="s">
        <v>11</v>
      </c>
      <c r="U2" s="3" t="n">
        <v>2</v>
      </c>
      <c r="V2" s="3" t="n">
        <v>3</v>
      </c>
      <c r="W2" s="4" t="n">
        <f aca="false">jingles[[#This Row],[Weight]]/jingles[[#Totals],[Weight]]</f>
        <v>0.5</v>
      </c>
      <c r="X2" s="4" t="n">
        <f aca="false">(jingles[[#This Row],[Weight]]/jingles[[#Totals],[Weight]])/jingles[[#This Row],[Length]]</f>
        <v>0.166666666666667</v>
      </c>
    </row>
    <row r="3" customFormat="false" ht="14.15" hidden="false" customHeight="false" outlineLevel="0" collapsed="false">
      <c r="A3" s="0" t="s">
        <v>12</v>
      </c>
      <c r="B3" s="0" t="n">
        <v>2</v>
      </c>
      <c r="C3" s="0" t="n">
        <v>33</v>
      </c>
      <c r="D3" s="2" t="n">
        <f aca="false">daytime[[#This Row],[Weight]]/$B$12</f>
        <v>0.0606060606060606</v>
      </c>
      <c r="E3" s="2" t="n">
        <f aca="false">(daytime[[#This Row],[Weight]]/$B$12)/daytime[[#This Row],[Length]]</f>
        <v>0.00183654729109275</v>
      </c>
      <c r="G3" s="0" t="s">
        <v>13</v>
      </c>
      <c r="H3" s="0" t="n">
        <v>6</v>
      </c>
      <c r="I3" s="0" t="n">
        <v>25</v>
      </c>
      <c r="J3" s="2" t="n">
        <f aca="false">nighttime[[#This Row],[Weight]]/$H$9</f>
        <v>0.214285714285714</v>
      </c>
      <c r="K3" s="2" t="n">
        <f aca="false">(nighttime[[#This Row],[Weight]]/$H$9)/nighttime[[#This Row],[Length]]</f>
        <v>0.00857142857142857</v>
      </c>
      <c r="M3" s="3" t="s">
        <v>14</v>
      </c>
      <c r="N3" s="3" t="n">
        <v>1</v>
      </c>
      <c r="O3" s="3" t="n">
        <v>10</v>
      </c>
      <c r="P3" s="4" t="n">
        <f aca="false">ads[[#This Row],[Weight]]/ads[[#Totals],[Weight]]</f>
        <v>0.1</v>
      </c>
      <c r="Q3" s="4" t="n">
        <f aca="false">(ads[[#This Row],[Weight]]/ads[[#Totals],[Weight]])/ads[[#This Row],[Length]]</f>
        <v>0.01</v>
      </c>
      <c r="R3" s="4" t="n">
        <f aca="false">ads[[#This Row],[%/ad]]*4</f>
        <v>0.04</v>
      </c>
      <c r="T3" s="3" t="s">
        <v>15</v>
      </c>
      <c r="U3" s="3" t="n">
        <v>1</v>
      </c>
      <c r="V3" s="3" t="n">
        <v>2</v>
      </c>
      <c r="W3" s="4" t="n">
        <f aca="false">jingles[[#This Row],[Weight]]/jingles[[#Totals],[Weight]]</f>
        <v>0.25</v>
      </c>
      <c r="X3" s="4" t="n">
        <f aca="false">(jingles[[#This Row],[Weight]]/jingles[[#Totals],[Weight]])/jingles[[#This Row],[Length]]</f>
        <v>0.125</v>
      </c>
    </row>
    <row r="4" customFormat="false" ht="14.15" hidden="false" customHeight="false" outlineLevel="0" collapsed="false">
      <c r="A4" s="0" t="s">
        <v>16</v>
      </c>
      <c r="B4" s="0" t="n">
        <v>3</v>
      </c>
      <c r="C4" s="0" t="n">
        <v>18</v>
      </c>
      <c r="D4" s="2" t="n">
        <f aca="false">daytime[[#This Row],[Weight]]/$B$12</f>
        <v>0.0909090909090909</v>
      </c>
      <c r="E4" s="2" t="n">
        <f aca="false">(daytime[[#This Row],[Weight]]/$B$12)/daytime[[#This Row],[Length]]</f>
        <v>0.00505050505050505</v>
      </c>
      <c r="G4" s="0" t="s">
        <v>17</v>
      </c>
      <c r="H4" s="0" t="n">
        <v>5</v>
      </c>
      <c r="I4" s="0" t="n">
        <v>21</v>
      </c>
      <c r="J4" s="2" t="n">
        <f aca="false">nighttime[[#This Row],[Weight]]/$H$9</f>
        <v>0.178571428571429</v>
      </c>
      <c r="K4" s="2" t="n">
        <f aca="false">(nighttime[[#This Row],[Weight]]/$H$9)/nighttime[[#This Row],[Length]]</f>
        <v>0.00850340136054422</v>
      </c>
      <c r="M4" s="3" t="s">
        <v>18</v>
      </c>
      <c r="N4" s="3" t="n">
        <v>4</v>
      </c>
      <c r="O4" s="3" t="n">
        <v>9</v>
      </c>
      <c r="P4" s="4" t="n">
        <f aca="false">ads[[#This Row],[Weight]]/ads[[#Totals],[Weight]]</f>
        <v>0.4</v>
      </c>
      <c r="Q4" s="4" t="n">
        <f aca="false">(ads[[#This Row],[Weight]]/ads[[#Totals],[Weight]])/ads[[#This Row],[Length]]</f>
        <v>0.0444444444444444</v>
      </c>
      <c r="R4" s="4" t="n">
        <f aca="false">ads[[#This Row],[%/ad]]*4</f>
        <v>0.177777777777778</v>
      </c>
      <c r="T4" s="3" t="s">
        <v>19</v>
      </c>
      <c r="U4" s="3" t="n">
        <v>1</v>
      </c>
      <c r="V4" s="3" t="n">
        <v>3</v>
      </c>
      <c r="W4" s="4" t="n">
        <f aca="false">jingles[[#This Row],[Weight]]/jingles[[#Totals],[Weight]]</f>
        <v>0.25</v>
      </c>
      <c r="X4" s="4" t="n">
        <f aca="false">(jingles[[#This Row],[Weight]]/jingles[[#Totals],[Weight]])/jingles[[#This Row],[Length]]</f>
        <v>0.0833333333333333</v>
      </c>
    </row>
    <row r="5" customFormat="false" ht="14.15" hidden="false" customHeight="false" outlineLevel="0" collapsed="false">
      <c r="A5" s="0" t="s">
        <v>20</v>
      </c>
      <c r="B5" s="0" t="n">
        <v>3</v>
      </c>
      <c r="C5" s="0" t="n">
        <v>35</v>
      </c>
      <c r="D5" s="2" t="n">
        <f aca="false">daytime[[#This Row],[Weight]]/$B$12</f>
        <v>0.0909090909090909</v>
      </c>
      <c r="E5" s="2" t="n">
        <f aca="false">(daytime[[#This Row],[Weight]]/$B$12)/daytime[[#This Row],[Length]]</f>
        <v>0.0025974025974026</v>
      </c>
      <c r="G5" s="0" t="s">
        <v>21</v>
      </c>
      <c r="H5" s="0" t="n">
        <v>7</v>
      </c>
      <c r="I5" s="0" t="n">
        <v>29</v>
      </c>
      <c r="J5" s="2" t="n">
        <f aca="false">nighttime[[#This Row],[Weight]]/$H$9</f>
        <v>0.25</v>
      </c>
      <c r="K5" s="2" t="n">
        <f aca="false">(nighttime[[#This Row],[Weight]]/$H$9)/nighttime[[#This Row],[Length]]</f>
        <v>0.00862068965517241</v>
      </c>
      <c r="M5" s="3" t="s">
        <v>22</v>
      </c>
      <c r="N5" s="3" t="n">
        <f aca="false">SUBTOTAL(109,ads[Weight])</f>
        <v>10</v>
      </c>
      <c r="O5" s="3" t="n">
        <f aca="false">SUBTOTAL(109,ads[Length])</f>
        <v>28</v>
      </c>
      <c r="P5" s="3"/>
      <c r="Q5" s="3"/>
      <c r="R5" s="3"/>
      <c r="T5" s="3" t="s">
        <v>22</v>
      </c>
      <c r="U5" s="3" t="n">
        <f aca="false">SUBTOTAL(109,jingles[Weight])</f>
        <v>4</v>
      </c>
      <c r="V5" s="3" t="n">
        <f aca="false">SUBTOTAL(109,jingles[Length])</f>
        <v>8</v>
      </c>
      <c r="W5" s="3"/>
      <c r="X5" s="3"/>
    </row>
    <row r="6" customFormat="false" ht="14.15" hidden="false" customHeight="false" outlineLevel="0" collapsed="false">
      <c r="A6" s="0" t="s">
        <v>23</v>
      </c>
      <c r="B6" s="0" t="n">
        <v>4</v>
      </c>
      <c r="C6" s="0" t="n">
        <v>34</v>
      </c>
      <c r="D6" s="2" t="n">
        <f aca="false">daytime[[#This Row],[Weight]]/$B$12</f>
        <v>0.121212121212121</v>
      </c>
      <c r="E6" s="2" t="n">
        <f aca="false">(daytime[[#This Row],[Weight]]/$B$12)/daytime[[#This Row],[Length]]</f>
        <v>0.0035650623885918</v>
      </c>
      <c r="G6" s="0" t="s">
        <v>24</v>
      </c>
      <c r="H6" s="0" t="n">
        <v>5</v>
      </c>
      <c r="I6" s="0" t="n">
        <v>26</v>
      </c>
      <c r="J6" s="2" t="n">
        <f aca="false">nighttime[[#This Row],[Weight]]/$H$9</f>
        <v>0.178571428571429</v>
      </c>
      <c r="K6" s="2" t="n">
        <f aca="false">(nighttime[[#This Row],[Weight]]/$H$9)/nighttime[[#This Row],[Length]]</f>
        <v>0.00686813186813187</v>
      </c>
    </row>
    <row r="7" customFormat="false" ht="14.15" hidden="false" customHeight="false" outlineLevel="0" collapsed="false">
      <c r="A7" s="0" t="s">
        <v>25</v>
      </c>
      <c r="B7" s="0" t="n">
        <v>6</v>
      </c>
      <c r="C7" s="0" t="n">
        <v>27</v>
      </c>
      <c r="D7" s="2" t="n">
        <f aca="false">daytime[[#This Row],[Weight]]/$B$12</f>
        <v>0.181818181818182</v>
      </c>
      <c r="E7" s="2" t="n">
        <f aca="false">(daytime[[#This Row],[Weight]]/$B$12)/daytime[[#This Row],[Length]]</f>
        <v>0.00673400673400673</v>
      </c>
      <c r="G7" s="0" t="s">
        <v>26</v>
      </c>
      <c r="H7" s="0" t="n">
        <v>3</v>
      </c>
      <c r="I7" s="0" t="n">
        <v>8</v>
      </c>
      <c r="J7" s="2" t="n">
        <f aca="false">nighttime[[#This Row],[Weight]]/$H$9</f>
        <v>0.107142857142857</v>
      </c>
      <c r="K7" s="2" t="n">
        <f aca="false">(nighttime[[#This Row],[Weight]]/$H$9)/nighttime[[#This Row],[Length]]</f>
        <v>0.0133928571428571</v>
      </c>
    </row>
    <row r="8" customFormat="false" ht="14.15" hidden="false" customHeight="false" outlineLevel="0" collapsed="false">
      <c r="A8" s="0" t="s">
        <v>27</v>
      </c>
      <c r="B8" s="0" t="n">
        <v>6</v>
      </c>
      <c r="C8" s="0" t="n">
        <v>21</v>
      </c>
      <c r="D8" s="2" t="n">
        <f aca="false">daytime[[#This Row],[Weight]]/$B$12</f>
        <v>0.181818181818182</v>
      </c>
      <c r="E8" s="2" t="n">
        <f aca="false">(daytime[[#This Row],[Weight]]/$B$12)/daytime[[#This Row],[Length]]</f>
        <v>0.00865800865800866</v>
      </c>
      <c r="G8" s="0" t="s">
        <v>28</v>
      </c>
      <c r="H8" s="0" t="n">
        <v>1</v>
      </c>
      <c r="I8" s="0" t="n">
        <v>3</v>
      </c>
      <c r="J8" s="2" t="n">
        <f aca="false">nighttime[[#This Row],[Weight]]/$H$9</f>
        <v>0.0357142857142857</v>
      </c>
      <c r="K8" s="2" t="n">
        <f aca="false">(nighttime[[#This Row],[Weight]]/$H$9)/nighttime[[#This Row],[Length]]</f>
        <v>0.0119047619047619</v>
      </c>
    </row>
    <row r="9" customFormat="false" ht="14.15" hidden="false" customHeight="false" outlineLevel="0" collapsed="false">
      <c r="A9" s="0" t="s">
        <v>29</v>
      </c>
      <c r="B9" s="0" t="n">
        <v>3</v>
      </c>
      <c r="C9" s="0" t="n">
        <v>26</v>
      </c>
      <c r="D9" s="2" t="n">
        <f aca="false">daytime[[#This Row],[Weight]]/$B$12</f>
        <v>0.0909090909090909</v>
      </c>
      <c r="E9" s="2" t="n">
        <f aca="false">(daytime[[#This Row],[Weight]]/$B$12)/daytime[[#This Row],[Length]]</f>
        <v>0.0034965034965035</v>
      </c>
      <c r="G9" s="0" t="s">
        <v>22</v>
      </c>
      <c r="H9" s="0" t="n">
        <f aca="false">SUBTOTAL(109,nighttime[Weight])</f>
        <v>28</v>
      </c>
      <c r="I9" s="0" t="n">
        <f aca="false">SUBTOTAL(109,nighttime[Length])</f>
        <v>113</v>
      </c>
    </row>
    <row r="10" customFormat="false" ht="14.15" hidden="false" customHeight="false" outlineLevel="0" collapsed="false">
      <c r="A10" s="0" t="s">
        <v>30</v>
      </c>
      <c r="B10" s="0" t="n">
        <v>2</v>
      </c>
      <c r="C10" s="0" t="n">
        <v>14</v>
      </c>
      <c r="D10" s="2" t="n">
        <f aca="false">daytime[[#This Row],[Weight]]/$B$12</f>
        <v>0.0606060606060606</v>
      </c>
      <c r="E10" s="2" t="n">
        <f aca="false">(daytime[[#This Row],[Weight]]/$B$12)/daytime[[#This Row],[Length]]</f>
        <v>0.00432900432900433</v>
      </c>
    </row>
    <row r="11" customFormat="false" ht="14.15" hidden="false" customHeight="false" outlineLevel="0" collapsed="false">
      <c r="A11" s="0" t="s">
        <v>31</v>
      </c>
      <c r="B11" s="0" t="n">
        <v>3</v>
      </c>
      <c r="C11" s="0" t="n">
        <v>26</v>
      </c>
      <c r="D11" s="2" t="n">
        <f aca="false">daytime[[#This Row],[Weight]]/$B$12</f>
        <v>0.0909090909090909</v>
      </c>
      <c r="E11" s="2" t="n">
        <f aca="false">(daytime[[#This Row],[Weight]]/$B$12)/daytime[[#This Row],[Length]]</f>
        <v>0.0034965034965035</v>
      </c>
    </row>
    <row r="12" customFormat="false" ht="13.8" hidden="false" customHeight="false" outlineLevel="0" collapsed="false">
      <c r="A12" s="0" t="s">
        <v>22</v>
      </c>
      <c r="B12" s="0" t="n">
        <f aca="false">SUM(daytime[Weight])</f>
        <v>33</v>
      </c>
      <c r="C12" s="0" t="n">
        <f aca="false">SUBTOTAL(109,daytime[Length])</f>
        <v>227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B2:B5">
    <cfRule type="colorScale" priority="2">
      <colorScale>
        <cfvo type="min" val="0"/>
        <cfvo type="max" val="0"/>
        <color rgb="FFFCFCFF"/>
        <color rgb="FF63BE7B"/>
      </colorScale>
    </cfRule>
  </conditionalFormatting>
  <conditionalFormatting sqref="D2:D11">
    <cfRule type="colorScale" priority="3">
      <colorScale>
        <cfvo type="min" val="0"/>
        <cfvo type="max" val="0"/>
        <color rgb="FFFCFCFF"/>
        <color rgb="FF63BE7B"/>
      </colorScale>
    </cfRule>
  </conditionalFormatting>
  <conditionalFormatting sqref="E2:E11">
    <cfRule type="colorScale" priority="4">
      <colorScale>
        <cfvo type="min" val="0"/>
        <cfvo type="max" val="0"/>
        <color rgb="FFFCFCFF"/>
        <color rgb="FF63BE7B"/>
      </colorScale>
    </cfRule>
  </conditionalFormatting>
  <conditionalFormatting sqref="H2:H8">
    <cfRule type="colorScale" priority="5">
      <colorScale>
        <cfvo type="min" val="0"/>
        <cfvo type="max" val="0"/>
        <color rgb="FFFCFCFF"/>
        <color rgb="FF63BE7B"/>
      </colorScale>
    </cfRule>
  </conditionalFormatting>
  <conditionalFormatting sqref="J2:J8">
    <cfRule type="colorScale" priority="6">
      <colorScale>
        <cfvo type="min" val="0"/>
        <cfvo type="max" val="0"/>
        <color rgb="FFFCFCFF"/>
        <color rgb="FF63BE7B"/>
      </colorScale>
    </cfRule>
  </conditionalFormatting>
  <conditionalFormatting sqref="K2:K8">
    <cfRule type="colorScale" priority="7">
      <colorScale>
        <cfvo type="min" val="0"/>
        <cfvo type="max" val="0"/>
        <color rgb="FFFCFCFF"/>
        <color rgb="FF63BE7B"/>
      </colorScale>
    </cfRule>
  </conditionalFormatting>
  <conditionalFormatting sqref="P2:P4">
    <cfRule type="colorScale" priority="8">
      <colorScale>
        <cfvo type="min" val="0"/>
        <cfvo type="max" val="0"/>
        <color rgb="FFFCFCFF"/>
        <color rgb="FF63BE7B"/>
      </colorScale>
    </cfRule>
  </conditionalFormatting>
  <conditionalFormatting sqref="Q2:R4">
    <cfRule type="colorScale" priority="9">
      <colorScale>
        <cfvo type="min" val="0"/>
        <cfvo type="max" val="0"/>
        <color rgb="FFFCFCFF"/>
        <color rgb="FF63BE7B"/>
      </colorScale>
    </cfRule>
  </conditionalFormatting>
  <conditionalFormatting sqref="W2:W4">
    <cfRule type="colorScale" priority="10">
      <colorScale>
        <cfvo type="min" val="0"/>
        <cfvo type="max" val="0"/>
        <color rgb="FFFCFCFF"/>
        <color rgb="FF63BE7B"/>
      </colorScale>
    </cfRule>
  </conditionalFormatting>
  <conditionalFormatting sqref="X2:X4">
    <cfRule type="colorScale" priority="11">
      <colorScale>
        <cfvo type="min" val="0"/>
        <cfvo type="max" val="0"/>
        <color rgb="FFFCFCFF"/>
        <color rgb="FF63BE7B"/>
      </colorScale>
    </cfRule>
  </conditionalFormatting>
  <conditionalFormatting sqref="B7:B12">
    <cfRule type="colorScale" priority="12">
      <colorScale>
        <cfvo type="min" val="0"/>
        <cfvo type="max" val="0"/>
        <color rgb="FFFCFCFF"/>
        <color rgb="FF63BE7B"/>
      </colorScale>
    </cfRule>
  </conditionalFormatting>
  <conditionalFormatting sqref="D4:D12">
    <cfRule type="colorScale" priority="13">
      <colorScale>
        <cfvo type="min" val="0"/>
        <cfvo type="max" val="0"/>
        <color rgb="FFFCFCFF"/>
        <color rgb="FF63BE7B"/>
      </colorScale>
    </cfRule>
  </conditionalFormatting>
  <conditionalFormatting sqref="E4:E12">
    <cfRule type="colorScale" priority="14">
      <colorScale>
        <cfvo type="min" val="0"/>
        <cfvo type="max" val="0"/>
        <color rgb="FFFCFCFF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Trio_Office/6.2.8.2$Windows_x86 LibreOffice_project/</Application>
  <Company>Intersolve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2025-07-02T07:19:09Z</dcterms:created>
  <dc:creator>Willeke Kort</dc:creator>
  <dc:description/>
  <dc:language>en-GB</dc:language>
  <cp:lastModifiedBy/>
  <dcterms:modified xsi:type="dcterms:W3CDTF">2026-06-01T19:50:34Z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Intersolve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