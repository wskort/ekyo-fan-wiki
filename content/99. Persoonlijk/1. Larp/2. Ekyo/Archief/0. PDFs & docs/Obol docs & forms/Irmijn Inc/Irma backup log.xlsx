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gboek" sheetId="1" state="visible" r:id="rId2"/>
    <sheet name="Ongevallen" sheetId="2" state="visible" r:id="rId3"/>
    <sheet name="Tatjes" sheetId="3" state="visible" r:id="rId4"/>
    <sheet name="Tatdata" sheetId="4" state="visible" r:id="rId5"/>
  </sheets>
  <definedNames>
    <definedName function="false" hidden="true" localSheetId="3" name="_xlnm._FilterDatabase" vbProcedure="false">Tatdata!$A$1:$B$13</definedName>
    <definedName function="false" hidden="true" localSheetId="2" name="_xlnm._FilterDatabase" vbProcedure="false">Tatjes!$A$1:$F$91</definedName>
    <definedName function="false" hidden="false" localSheetId="2" name="_xlnm._FilterDatabase" vbProcedure="false">Tatjes!$A$1:$F$90</definedName>
    <definedName function="false" hidden="false" localSheetId="2" name="_xlnm._FilterDatabase_0" vbProcedure="false">Tatjes!$A$1:$F$88</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<sst xmlns="http://schemas.openxmlformats.org/spreadsheetml/2006/main" count="484" uniqueCount="100">
  <si>
    <t xml:space="preserve">Pagina</t>
  </si>
  <si>
    <t xml:space="preserve">Datum</t>
  </si>
  <si>
    <t xml:space="preserve">Omschrijving</t>
  </si>
  <si>
    <t xml:space="preserve">Type</t>
  </si>
  <si>
    <t xml:space="preserve">Schets</t>
  </si>
  <si>
    <t xml:space="preserve">Log</t>
  </si>
  <si>
    <t xml:space="preserve">Patroon</t>
  </si>
  <si>
    <t xml:space="preserve">Gedicht</t>
  </si>
  <si>
    <t xml:space="preserve">Kaft</t>
  </si>
  <si>
    <t xml:space="preserve">Zonnebloem</t>
  </si>
  <si>
    <t xml:space="preserve">Koperen ei</t>
  </si>
  <si>
    <t xml:space="preserve">Ruitje</t>
  </si>
  <si>
    <t xml:space="preserve">Pimpelmees</t>
  </si>
  <si>
    <t xml:space="preserve">Mijnvogel in Mineur</t>
  </si>
  <si>
    <t xml:space="preserve">Vlinderbeest</t>
  </si>
  <si>
    <t xml:space="preserve">Scheepswiel</t>
  </si>
  <si>
    <t xml:space="preserve">Vondst</t>
  </si>
  <si>
    <t xml:space="preserve">Tala</t>
  </si>
  <si>
    <t xml:space="preserve">TOTAL</t>
  </si>
  <si>
    <t xml:space="preserve">Vlinder</t>
  </si>
  <si>
    <t xml:space="preserve">Wolkendroom</t>
  </si>
  <si>
    <t xml:space="preserve">Kanarie</t>
  </si>
  <si>
    <t xml:space="preserve">Kopernest</t>
  </si>
  <si>
    <t xml:space="preserve">Klaver</t>
  </si>
  <si>
    <t xml:space="preserve">Irmijn Inc logo</t>
  </si>
  <si>
    <t xml:space="preserve">Obol Boyz</t>
  </si>
  <si>
    <t xml:space="preserve">Vuurmot</t>
  </si>
  <si>
    <t xml:space="preserve">Vrijer dan wij</t>
  </si>
  <si>
    <t xml:space="preserve">Lege kooi</t>
  </si>
  <si>
    <t xml:space="preserve">In de urn</t>
  </si>
  <si>
    <t xml:space="preserve">Apenweegschaal</t>
  </si>
  <si>
    <t xml:space="preserve">Puzzel</t>
  </si>
  <si>
    <t xml:space="preserve">Groene steen</t>
  </si>
  <si>
    <t xml:space="preserve">Libel</t>
  </si>
  <si>
    <t xml:space="preserve">Gift van de Moeders</t>
  </si>
  <si>
    <t xml:space="preserve">Heks met klauw</t>
  </si>
  <si>
    <t xml:space="preserve">Bijtje</t>
  </si>
  <si>
    <t xml:space="preserve">Hoeders</t>
  </si>
  <si>
    <t xml:space="preserve">Lieveheersbeestje</t>
  </si>
  <si>
    <t xml:space="preserve">Diep. Diep. Diep.</t>
  </si>
  <si>
    <t xml:space="preserve">Paal etc</t>
  </si>
  <si>
    <t xml:space="preserve">Blaadje</t>
  </si>
  <si>
    <t xml:space="preserve">Jaar</t>
  </si>
  <si>
    <t xml:space="preserve">Dag</t>
  </si>
  <si>
    <t xml:space="preserve">Leeftijd</t>
  </si>
  <si>
    <t xml:space="preserve">Stage</t>
  </si>
  <si>
    <t xml:space="preserve">Touw vernieling</t>
  </si>
  <si>
    <t xml:space="preserve">Instorting</t>
  </si>
  <si>
    <t xml:space="preserve">Mijnmuil</t>
  </si>
  <si>
    <t xml:space="preserve">Gevallen krat</t>
  </si>
  <si>
    <t xml:space="preserve">Interventie</t>
  </si>
  <si>
    <t xml:space="preserve">Appelboom</t>
  </si>
  <si>
    <t xml:space="preserve">Explosie</t>
  </si>
  <si>
    <t xml:space="preserve">Gaslek</t>
  </si>
  <si>
    <t xml:space="preserve">De Val</t>
  </si>
  <si>
    <t xml:space="preserve">Overbelast</t>
  </si>
  <si>
    <t xml:space="preserve">Ondervoeding</t>
  </si>
  <si>
    <t xml:space="preserve">Nachtwerk</t>
  </si>
  <si>
    <t xml:space="preserve">Staking</t>
  </si>
  <si>
    <t xml:space="preserve">Evacuatie</t>
  </si>
  <si>
    <t xml:space="preserve">De Scherf</t>
  </si>
  <si>
    <t xml:space="preserve">Railspoeper</t>
  </si>
  <si>
    <t xml:space="preserve">Overval</t>
  </si>
  <si>
    <t xml:space="preserve">Model</t>
  </si>
  <si>
    <t xml:space="preserve">Kleur1</t>
  </si>
  <si>
    <t xml:space="preserve">Kleur2</t>
  </si>
  <si>
    <t xml:space="preserve">#Model</t>
  </si>
  <si>
    <t xml:space="preserve">#Kleur1</t>
  </si>
  <si>
    <t xml:space="preserve">#Kleur2</t>
  </si>
  <si>
    <t xml:space="preserve">Bloem</t>
  </si>
  <si>
    <t xml:space="preserve">Blauw</t>
  </si>
  <si>
    <t xml:space="preserve">Geel</t>
  </si>
  <si>
    <t xml:space="preserve">Aqua</t>
  </si>
  <si>
    <t xml:space="preserve">Marine</t>
  </si>
  <si>
    <t xml:space="preserve">Zilver</t>
  </si>
  <si>
    <t xml:space="preserve">Paars</t>
  </si>
  <si>
    <t xml:space="preserve">Lila</t>
  </si>
  <si>
    <t xml:space="preserve">Lichtgeel</t>
  </si>
  <si>
    <t xml:space="preserve">Roze</t>
  </si>
  <si>
    <t xml:space="preserve">Zwart</t>
  </si>
  <si>
    <t xml:space="preserve">Fuchsia</t>
  </si>
  <si>
    <t xml:space="preserve">Oranje</t>
  </si>
  <si>
    <t xml:space="preserve">Groen</t>
  </si>
  <si>
    <t xml:space="preserve">Gras</t>
  </si>
  <si>
    <t xml:space="preserve">Wit</t>
  </si>
  <si>
    <t xml:space="preserve">Klaver4</t>
  </si>
  <si>
    <t xml:space="preserve">Olijf</t>
  </si>
  <si>
    <t xml:space="preserve">Rood</t>
  </si>
  <si>
    <t xml:space="preserve">Ruit</t>
  </si>
  <si>
    <t xml:space="preserve">Blad</t>
  </si>
  <si>
    <t xml:space="preserve">Roest</t>
  </si>
  <si>
    <t xml:space="preserve">Klaver3</t>
  </si>
  <si>
    <t xml:space="preserve">Lieveheer</t>
  </si>
  <si>
    <t xml:space="preserve">Rondje</t>
  </si>
  <si>
    <t xml:space="preserve">Wiel</t>
  </si>
  <si>
    <t xml:space="preserve">Bruin</t>
  </si>
  <si>
    <t xml:space="preserve">Grijs</t>
  </si>
  <si>
    <t xml:space="preserve">Molentje</t>
  </si>
  <si>
    <t xml:space="preserve">#</t>
  </si>
  <si>
    <t xml:space="preserve">Kleur</t>
  </si>
</sst>
</file>

<file path=xl/styles.xml><?xml version="1.0" encoding="utf-8"?>
<styleSheet xmlns="http://schemas.openxmlformats.org/spreadsheetml/2006/main">
  <numFmts count="3">
    <numFmt numFmtId="164" formatCode="General"/>
    <numFmt numFmtId="165" formatCode="General"/>
    <numFmt numFmtId="166" formatCode="0%"/>
  </numFmts>
  <fonts count="9">
    <font>
      <sz val="10"/>
      <name val="Arial"/>
      <family val="2"/>
      <charset val="1"/>
    </font>
    <font>
      <sz val="10"/>
      <name val="Arial"/>
      <family val="0"/>
    </font>
    <font>
      <sz val="10"/>
      <name val="Arial"/>
      <family val="0"/>
    </font>
    <font>
      <sz val="10"/>
      <name val="Arial"/>
      <family val="0"/>
    </font>
    <font>
      <b val="true"/>
      <sz val="10"/>
      <name val="Arial"/>
      <family val="2"/>
      <charset val="1"/>
    </font>
    <font>
      <sz val="13"/>
      <name val="Arial"/>
      <family val="2"/>
    </font>
    <font>
      <sz val="10"/>
      <name val="Arial"/>
      <family val="2"/>
    </font>
    <font>
      <sz val="9"/>
      <name val="Arial"/>
      <family val="2"/>
    </font>
    <font>
      <sz val="10"/>
      <color rgb="FFFFFFFF"/>
      <name val="Arial"/>
      <family val="2"/>
      <charset val="1"/>
    </font>
  </fonts>
  <fills count="22">
    <fill>
      <patternFill patternType="none"/>
    </fill>
    <fill>
      <patternFill patternType="gray125"/>
    </fill>
    <fill>
      <patternFill patternType="solid">
        <fgColor rgb="FFFFFF00"/>
        <bgColor rgb="FFBBE33D"/>
      </patternFill>
    </fill>
    <fill>
      <patternFill patternType="solid">
        <fgColor rgb="FFFABCFC"/>
        <bgColor rgb="FFFFCCCC"/>
      </patternFill>
    </fill>
    <fill>
      <patternFill patternType="solid">
        <fgColor rgb="FF00CAFF"/>
        <bgColor rgb="FF33CCCC"/>
      </patternFill>
    </fill>
    <fill>
      <patternFill patternType="solid">
        <fgColor rgb="FF9BE2F6"/>
        <bgColor rgb="FFCCFFFF"/>
      </patternFill>
    </fill>
    <fill>
      <patternFill patternType="solid">
        <fgColor rgb="FF2A6099"/>
        <bgColor rgb="FF004586"/>
      </patternFill>
    </fill>
    <fill>
      <patternFill patternType="solid">
        <fgColor rgb="FFDDDDDD"/>
        <bgColor rgb="FFFFCCCC"/>
      </patternFill>
    </fill>
    <fill>
      <patternFill patternType="solid">
        <fgColor rgb="FF800080"/>
        <bgColor rgb="FF800080"/>
      </patternFill>
    </fill>
    <fill>
      <patternFill patternType="solid">
        <fgColor rgb="FFD8AAFF"/>
        <bgColor rgb="FFFABCFC"/>
      </patternFill>
    </fill>
    <fill>
      <patternFill patternType="solid">
        <fgColor rgb="FFFFFFD7"/>
        <bgColor rgb="FFFFFFCC"/>
      </patternFill>
    </fill>
    <fill>
      <patternFill patternType="solid">
        <fgColor rgb="FF000000"/>
        <bgColor rgb="FF003300"/>
      </patternFill>
    </fill>
    <fill>
      <patternFill patternType="solid">
        <fgColor rgb="FFFF56F8"/>
        <bgColor rgb="FFFF00FF"/>
      </patternFill>
    </fill>
    <fill>
      <patternFill patternType="solid">
        <fgColor rgb="FFFFBF00"/>
        <bgColor rgb="FFFF9900"/>
      </patternFill>
    </fill>
    <fill>
      <patternFill patternType="solid">
        <fgColor rgb="FF00A933"/>
        <bgColor rgb="FF008080"/>
      </patternFill>
    </fill>
    <fill>
      <patternFill patternType="solid">
        <fgColor rgb="FFBBE33D"/>
        <bgColor rgb="FFACB20C"/>
      </patternFill>
    </fill>
    <fill>
      <patternFill patternType="solid">
        <fgColor rgb="FFFFFFFF"/>
        <bgColor rgb="FFFFFFD7"/>
      </patternFill>
    </fill>
    <fill>
      <patternFill patternType="solid">
        <fgColor rgb="FFACB20C"/>
        <bgColor rgb="FFBBE33D"/>
      </patternFill>
    </fill>
    <fill>
      <patternFill patternType="solid">
        <fgColor rgb="FFFF0000"/>
        <bgColor rgb="FFCC0000"/>
      </patternFill>
    </fill>
    <fill>
      <patternFill patternType="solid">
        <fgColor rgb="FFFF7B35"/>
        <bgColor rgb="FFFF9900"/>
      </patternFill>
    </fill>
    <fill>
      <patternFill patternType="solid">
        <fgColor rgb="FF813709"/>
        <bgColor rgb="FF993366"/>
      </patternFill>
    </fill>
    <fill>
      <patternFill patternType="solid">
        <fgColor rgb="FF808080"/>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5" fontId="0" fillId="0"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center"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8" fillId="8"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64" fontId="8" fillId="11" borderId="0" xfId="0" applyFont="true" applyBorder="false" applyAlignment="false" applyProtection="false">
      <alignment horizontal="general" vertical="bottom" textRotation="0" wrapText="false" indent="0" shrinkToFit="false"/>
      <protection locked="tru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8" fillId="14" borderId="0" xfId="0" applyFont="true" applyBorder="false" applyAlignment="false" applyProtection="false">
      <alignment horizontal="general" vertical="bottom" textRotation="0" wrapText="false" indent="0" shrinkToFit="false"/>
      <protection locked="true" hidden="false"/>
    </xf>
    <xf numFmtId="164" fontId="0" fillId="15" borderId="0" xfId="0" applyFont="true" applyBorder="false" applyAlignment="false" applyProtection="false">
      <alignment horizontal="general" vertical="bottom" textRotation="0" wrapText="false" indent="0" shrinkToFit="false"/>
      <protection locked="true" hidden="false"/>
    </xf>
    <xf numFmtId="164" fontId="0" fillId="16" borderId="0" xfId="0" applyFont="true" applyBorder="false" applyAlignment="false" applyProtection="false">
      <alignment horizontal="general" vertical="bottom" textRotation="0" wrapText="false" indent="0" shrinkToFit="false"/>
      <protection locked="true" hidden="false"/>
    </xf>
    <xf numFmtId="164" fontId="0" fillId="17" borderId="0" xfId="0" applyFont="true" applyBorder="false" applyAlignment="false" applyProtection="false">
      <alignment horizontal="general" vertical="bottom" textRotation="0" wrapText="false" indent="0" shrinkToFit="false"/>
      <protection locked="true" hidden="false"/>
    </xf>
    <xf numFmtId="164" fontId="8" fillId="18" borderId="0" xfId="0" applyFont="true" applyBorder="false" applyAlignment="false" applyProtection="false">
      <alignment horizontal="general" vertical="bottom" textRotation="0" wrapText="false" indent="0" shrinkToFit="false"/>
      <protection locked="true" hidden="false"/>
    </xf>
    <xf numFmtId="164" fontId="0" fillId="19" borderId="0" xfId="0" applyFont="true" applyBorder="false" applyAlignment="false" applyProtection="false">
      <alignment horizontal="general" vertical="bottom" textRotation="0" wrapText="false" indent="0" shrinkToFit="false"/>
      <protection locked="true" hidden="false"/>
    </xf>
    <xf numFmtId="164" fontId="8" fillId="20" borderId="0" xfId="0" applyFont="true" applyBorder="false" applyAlignment="false" applyProtection="false">
      <alignment horizontal="general" vertical="bottom" textRotation="0" wrapText="false" indent="0" shrinkToFit="false"/>
      <protection locked="true" hidden="false"/>
    </xf>
    <xf numFmtId="164" fontId="8" fillId="21"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b val="0"/>
        <i val="0"/>
        <color rgb="FFFFFFFF"/>
        <sz val="10"/>
      </font>
      <fill>
        <patternFill>
          <bgColor rgb="FF808080"/>
        </patternFill>
      </fill>
    </dxf>
    <dxf>
      <font>
        <b val="0"/>
        <i val="0"/>
        <color rgb="FF996600"/>
        <sz val="10"/>
      </font>
      <fill>
        <patternFill>
          <bgColor rgb="FFFFFFCC"/>
        </patternFill>
      </fill>
    </dxf>
    <dxf>
      <font>
        <b val="0"/>
        <i val="0"/>
        <color rgb="FFCC0000"/>
        <sz val="10"/>
      </font>
      <fill>
        <patternFill>
          <bgColor rgb="FFFFCCCC"/>
        </patternFill>
      </fill>
    </dxf>
    <dxf>
      <font>
        <b val="0"/>
        <i val="0"/>
        <color rgb="FF006600"/>
        <sz val="10"/>
      </font>
      <fill>
        <patternFill>
          <bgColor rgb="FFCCFFCC"/>
        </patternFill>
      </fill>
    </dxf>
  </dxfs>
  <colors>
    <indexedColors>
      <rgbColor rgb="FF000000"/>
      <rgbColor rgb="FFFFFFFF"/>
      <rgbColor rgb="FFFF0000"/>
      <rgbColor rgb="FF00FF00"/>
      <rgbColor rgb="FF0000FF"/>
      <rgbColor rgb="FFFFFF00"/>
      <rgbColor rgb="FFFF00FF"/>
      <rgbColor rgb="FF00FFFF"/>
      <rgbColor rgb="FFCC0000"/>
      <rgbColor rgb="FF006600"/>
      <rgbColor rgb="FF000080"/>
      <rgbColor rgb="FF996600"/>
      <rgbColor rgb="FF800080"/>
      <rgbColor rgb="FF008080"/>
      <rgbColor rgb="FFB3B3B3"/>
      <rgbColor rgb="FF808080"/>
      <rgbColor rgb="FF9999FF"/>
      <rgbColor rgb="FFFF420E"/>
      <rgbColor rgb="FFFFFFCC"/>
      <rgbColor rgb="FFCCFFFF"/>
      <rgbColor rgb="FF660066"/>
      <rgbColor rgb="FFFF56F8"/>
      <rgbColor rgb="FF2A6099"/>
      <rgbColor rgb="FFDDDDDD"/>
      <rgbColor rgb="FF000080"/>
      <rgbColor rgb="FFFF00FF"/>
      <rgbColor rgb="FFBBE33D"/>
      <rgbColor rgb="FF00FFFF"/>
      <rgbColor rgb="FF800080"/>
      <rgbColor rgb="FF800000"/>
      <rgbColor rgb="FF008080"/>
      <rgbColor rgb="FF0000FF"/>
      <rgbColor rgb="FF00CAFF"/>
      <rgbColor rgb="FFCCFFFF"/>
      <rgbColor rgb="FFCCFFCC"/>
      <rgbColor rgb="FFFFFFD7"/>
      <rgbColor rgb="FF9BE2F6"/>
      <rgbColor rgb="FFFABCFC"/>
      <rgbColor rgb="FFD8AAFF"/>
      <rgbColor rgb="FFFFCCCC"/>
      <rgbColor rgb="FF3366FF"/>
      <rgbColor rgb="FF33CCCC"/>
      <rgbColor rgb="FFACB20C"/>
      <rgbColor rgb="FFFFBF00"/>
      <rgbColor rgb="FFFF9900"/>
      <rgbColor rgb="FFFF7B35"/>
      <rgbColor rgb="FF666666"/>
      <rgbColor rgb="FF969696"/>
      <rgbColor rgb="FF004586"/>
      <rgbColor rgb="FF00A933"/>
      <rgbColor rgb="FF003300"/>
      <rgbColor rgb="FF333300"/>
      <rgbColor rgb="FF813709"/>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Log vulling</a:t>
            </a:r>
          </a:p>
        </c:rich>
      </c:tx>
      <c:overlay val="0"/>
      <c:spPr>
        <a:noFill/>
        <a:ln>
          <a:noFill/>
        </a:ln>
      </c:spPr>
    </c:title>
    <c:autoTitleDeleted val="0"/>
    <c:plotArea>
      <c:lineChart>
        <c:grouping val="standard"/>
        <c:varyColors val="0"/>
        <c:ser>
          <c:idx val="0"/>
          <c:order val="0"/>
          <c:tx>
            <c:strRef>
              <c:f>Logboek!$C$1:$C$114</c:f>
              <c:strCache>
                <c:ptCount val="1"/>
                <c:pt idx="0">
                  <c:v>Omschrijving Kaft Zonnebloem Koperen ei Ruitje Pimpelmees Mijnvogel in Mineur Vlinderbeest Scheepswiel Vondst Tala Vlinder Wolkendroom Kanarie Kopernest Klaver Irmijn Inc logo Obol Boyz Vuurmot Vrijer dan wij Lege kooi In de urn Apenweegschaal Puzzel Groene steen Libel Gift van de Moeders Heks met klauw Bijtje Hoeders Lieveheersbeestje Diep. Diep. Diep. Paal etc Blaadje</c:v>
                </c:pt>
              </c:strCache>
            </c:strRef>
          </c:tx>
          <c:spPr>
            <a:solidFill>
              <a:srgbClr val="004586"/>
            </a:solidFill>
            <a:ln w="28800">
              <a:solidFill>
                <a:srgbClr val="004586"/>
              </a:solidFill>
              <a:round/>
            </a:ln>
          </c:spPr>
          <c:marker>
            <c:symbol val="none"/>
          </c:marker>
          <c:dLbls>
            <c:numFmt formatCode="General" sourceLinked="1"/>
            <c:txPr>
              <a:bodyPr/>
              <a:lstStyle/>
              <a:p>
                <a:pPr>
                  <a:defRPr b="0" sz="1000" spc="-1" strike="noStrike">
                    <a:latin typeface="Arial"/>
                  </a:defRPr>
                </a:pPr>
              </a:p>
            </c:txPr>
            <c:dLblPos val="r"/>
            <c:showLegendKey val="0"/>
            <c:showVal val="0"/>
            <c:showCatName val="0"/>
            <c:showSerName val="0"/>
            <c:showPercent val="0"/>
            <c:separator> </c:separator>
            <c:showLeaderLines val="0"/>
          </c:dLbls>
          <c:cat>
            <c:strRef>
              <c:f>Logboek!$A$2:$A$114</c:f>
              <c:strCache>
                <c:ptCount val="11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strCache>
            </c:strRef>
          </c:cat>
          <c:val>
            <c:numRef>
              <c:f>Logboek!$B$1:$B$114</c:f>
              <c:numCache>
                <c:formatCode>General</c:formatCode>
                <c:ptCount val="114"/>
                <c:pt idx="0">
                  <c:v/>
                </c:pt>
                <c:pt idx="1">
                  <c:v>1</c:v>
                </c:pt>
                <c:pt idx="2">
                  <c:v>1</c:v>
                </c:pt>
                <c:pt idx="3">
                  <c:v>2</c:v>
                </c:pt>
                <c:pt idx="4">
                  <c:v>3</c:v>
                </c:pt>
                <c:pt idx="5">
                  <c:v>5</c:v>
                </c:pt>
                <c:pt idx="6">
                  <c:v>6</c:v>
                </c:pt>
                <c:pt idx="7">
                  <c:v>8</c:v>
                </c:pt>
                <c:pt idx="8">
                  <c:v>11</c:v>
                </c:pt>
                <c:pt idx="9">
                  <c:v>13</c:v>
                </c:pt>
                <c:pt idx="10">
                  <c:v>13</c:v>
                </c:pt>
                <c:pt idx="11">
                  <c:v>14</c:v>
                </c:pt>
                <c:pt idx="12">
                  <c:v>18</c:v>
                </c:pt>
                <c:pt idx="13">
                  <c:v>19</c:v>
                </c:pt>
                <c:pt idx="14">
                  <c:v>20</c:v>
                </c:pt>
                <c:pt idx="15">
                  <c:v>21</c:v>
                </c:pt>
                <c:pt idx="16">
                  <c:v>23</c:v>
                </c:pt>
                <c:pt idx="17">
                  <c:v>24</c:v>
                </c:pt>
                <c:pt idx="18">
                  <c:v>26</c:v>
                </c:pt>
                <c:pt idx="19">
                  <c:v>27</c:v>
                </c:pt>
                <c:pt idx="20">
                  <c:v>27</c:v>
                </c:pt>
                <c:pt idx="21">
                  <c:v>29</c:v>
                </c:pt>
                <c:pt idx="22">
                  <c:v>30</c:v>
                </c:pt>
                <c:pt idx="23">
                  <c:v>31</c:v>
                </c:pt>
                <c:pt idx="24">
                  <c:v>31</c:v>
                </c:pt>
                <c:pt idx="25">
                  <c:v>32</c:v>
                </c:pt>
                <c:pt idx="26">
                  <c:v>33</c:v>
                </c:pt>
                <c:pt idx="27">
                  <c:v>34</c:v>
                </c:pt>
                <c:pt idx="28">
                  <c:v>36</c:v>
                </c:pt>
                <c:pt idx="29">
                  <c:v>37</c:v>
                </c:pt>
                <c:pt idx="30">
                  <c:v>38</c:v>
                </c:pt>
                <c:pt idx="31">
                  <c:v>39</c:v>
                </c:pt>
                <c:pt idx="32">
                  <c:v>42</c:v>
                </c:pt>
                <c:pt idx="33">
                  <c:v>45</c:v>
                </c:pt>
                <c:pt idx="34">
                  <c:v>48</c:v>
                </c:pt>
                <c:pt idx="35">
                  <c:v>58</c:v>
                </c:pt>
                <c:pt idx="36">
                  <c:v>60</c:v>
                </c:pt>
                <c:pt idx="37">
                  <c:v>62</c:v>
                </c:pt>
                <c:pt idx="38">
                  <c:v>62</c:v>
                </c:pt>
                <c:pt idx="39">
                  <c:v>63</c:v>
                </c:pt>
                <c:pt idx="40">
                  <c:v>67</c:v>
                </c:pt>
                <c:pt idx="41">
                  <c:v>70</c:v>
                </c:pt>
                <c:pt idx="42">
                  <c:v>73</c:v>
                </c:pt>
                <c:pt idx="43">
                  <c:v>77</c:v>
                </c:pt>
                <c:pt idx="44">
                  <c:v>78</c:v>
                </c:pt>
                <c:pt idx="45">
                  <c:v>79</c:v>
                </c:pt>
                <c:pt idx="46">
                  <c:v>79</c:v>
                </c:pt>
                <c:pt idx="47">
                  <c:v>80</c:v>
                </c:pt>
                <c:pt idx="48">
                  <c:v>80</c:v>
                </c:pt>
                <c:pt idx="49">
                  <c:v>81</c:v>
                </c:pt>
                <c:pt idx="50">
                  <c:v>81</c:v>
                </c:pt>
                <c:pt idx="51">
                  <c:v>81</c:v>
                </c:pt>
                <c:pt idx="52">
                  <c:v>82</c:v>
                </c:pt>
                <c:pt idx="53">
                  <c:v>82</c:v>
                </c:pt>
                <c:pt idx="54">
                  <c:v>83</c:v>
                </c:pt>
                <c:pt idx="55">
                  <c:v>85</c:v>
                </c:pt>
                <c:pt idx="56">
                  <c:v>85</c:v>
                </c:pt>
                <c:pt idx="57">
                  <c:v>87</c:v>
                </c:pt>
                <c:pt idx="58">
                  <c:v>91</c:v>
                </c:pt>
                <c:pt idx="59">
                  <c:v>93</c:v>
                </c:pt>
                <c:pt idx="60">
                  <c:v>94</c:v>
                </c:pt>
                <c:pt idx="61">
                  <c:v>96</c:v>
                </c:pt>
                <c:pt idx="62">
                  <c:v>97</c:v>
                </c:pt>
                <c:pt idx="63">
                  <c:v>101</c:v>
                </c:pt>
                <c:pt idx="64">
                  <c:v>105</c:v>
                </c:pt>
                <c:pt idx="65">
                  <c:v>110</c:v>
                </c:pt>
                <c:pt idx="66">
                  <c:v>110</c:v>
                </c:pt>
                <c:pt idx="67">
                  <c:v>110</c:v>
                </c:pt>
                <c:pt idx="68">
                  <c:v>111</c:v>
                </c:pt>
                <c:pt idx="69">
                  <c:v>112</c:v>
                </c:pt>
                <c:pt idx="70">
                  <c:v>113</c:v>
                </c:pt>
                <c:pt idx="71">
                  <c:v>114</c:v>
                </c:pt>
                <c:pt idx="72">
                  <c:v>115</c:v>
                </c:pt>
                <c:pt idx="73">
                  <c:v>116</c:v>
                </c:pt>
                <c:pt idx="74">
                  <c:v>116</c:v>
                </c:pt>
                <c:pt idx="75">
                  <c:v>118</c:v>
                </c:pt>
                <c:pt idx="76">
                  <c:v>120</c:v>
                </c:pt>
                <c:pt idx="77">
                  <c:v>123</c:v>
                </c:pt>
                <c:pt idx="78">
                  <c:v>127</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pt idx="113">
                  <c:v/>
                </c:pt>
              </c:numCache>
            </c:numRef>
          </c:val>
          <c:smooth val="0"/>
        </c:ser>
        <c:hiLowLines>
          <c:spPr>
            <a:ln>
              <a:noFill/>
            </a:ln>
          </c:spPr>
        </c:hiLowLines>
        <c:marker val="0"/>
        <c:axId val="75096402"/>
        <c:axId val="22154157"/>
      </c:lineChart>
      <c:catAx>
        <c:axId val="75096402"/>
        <c:scaling>
          <c:orientation val="minMax"/>
        </c:scaling>
        <c:delete val="0"/>
        <c:axPos val="b"/>
        <c:title>
          <c:tx>
            <c:rich>
              <a:bodyPr rot="0"/>
              <a:lstStyle/>
              <a:p>
                <a:pPr>
                  <a:defRPr b="0" sz="900" spc="-1" strike="noStrike">
                    <a:latin typeface="Arial"/>
                  </a:defRPr>
                </a:pPr>
                <a:r>
                  <a:rPr b="0" sz="900" spc="-1" strike="noStrike">
                    <a:latin typeface="Arial"/>
                  </a:rPr>
                  <a:t>Pagina</a:t>
                </a:r>
              </a:p>
            </c:rich>
          </c:tx>
          <c:overlay val="0"/>
          <c:spPr>
            <a:noFill/>
            <a:ln>
              <a:noFill/>
            </a:ln>
          </c:spPr>
        </c:title>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22154157"/>
        <c:crosses val="autoZero"/>
        <c:auto val="1"/>
        <c:lblAlgn val="ctr"/>
        <c:lblOffset val="100"/>
      </c:catAx>
      <c:valAx>
        <c:axId val="22154157"/>
        <c:scaling>
          <c:orientation val="minMax"/>
        </c:scaling>
        <c:delete val="0"/>
        <c:axPos val="l"/>
        <c:majorGridlines>
          <c:spPr>
            <a:ln>
              <a:solidFill>
                <a:srgbClr val="b3b3b3"/>
              </a:solidFill>
            </a:ln>
          </c:spPr>
        </c:majorGridlines>
        <c:title>
          <c:tx>
            <c:rich>
              <a:bodyPr rot="-5400000"/>
              <a:lstStyle/>
              <a:p>
                <a:pPr>
                  <a:defRPr b="0" sz="900" spc="-1" strike="noStrike">
                    <a:latin typeface="Arial"/>
                  </a:defRPr>
                </a:pPr>
                <a:r>
                  <a:rPr b="0" sz="900" spc="-1" strike="noStrike">
                    <a:latin typeface="Arial"/>
                  </a:rPr>
                  <a:t>Datum</a:t>
                </a:r>
              </a:p>
            </c:rich>
          </c:tx>
          <c:overlay val="0"/>
          <c:spPr>
            <a:noFill/>
            <a:ln>
              <a:noFill/>
            </a:ln>
          </c:spPr>
        </c:title>
        <c:numFmt formatCode="General" sourceLinked="0"/>
        <c:majorTickMark val="out"/>
        <c:minorTickMark val="none"/>
        <c:tickLblPos val="nextTo"/>
        <c:spPr>
          <a:ln>
            <a:solidFill>
              <a:srgbClr val="b3b3b3"/>
            </a:solidFill>
          </a:ln>
        </c:spPr>
        <c:txPr>
          <a:bodyPr/>
          <a:lstStyle/>
          <a:p>
            <a:pPr>
              <a:defRPr b="0" sz="1000" spc="-1" strike="noStrike">
                <a:latin typeface="Arial"/>
              </a:defRPr>
            </a:pPr>
          </a:p>
        </c:txPr>
        <c:crossAx val="75096402"/>
        <c:crosses val="autoZero"/>
        <c:crossBetween val="midCat"/>
      </c:valAx>
      <c:spPr>
        <a:noFill/>
        <a:ln>
          <a:solidFill>
            <a:srgbClr val="b3b3b3"/>
          </a:solidFill>
        </a:ln>
      </c:spPr>
    </c:plotArea>
    <c:plotVisOnly val="1"/>
    <c:dispBlanksAs val="gap"/>
  </c:chart>
  <c:spPr>
    <a:solidFill>
      <a:srgbClr val="ffffff"/>
    </a:solidFill>
    <a:ln>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Type</a:t>
            </a:r>
          </a:p>
        </c:rich>
      </c:tx>
      <c:overlay val="0"/>
      <c:spPr>
        <a:noFill/>
        <a:ln>
          <a:noFill/>
        </a:ln>
      </c:spPr>
    </c:title>
    <c:autoTitleDeleted val="0"/>
    <c:plotArea>
      <c:lineChart>
        <c:grouping val="standard"/>
        <c:varyColors val="0"/>
        <c:ser>
          <c:idx val="0"/>
          <c:order val="0"/>
          <c:tx>
            <c:strRef>
              <c:f>Logboek!$F$1:$F$1</c:f>
              <c:strCache>
                <c:ptCount val="1"/>
                <c:pt idx="0">
                  <c:v>Log</c:v>
                </c:pt>
              </c:strCache>
            </c:strRef>
          </c:tx>
          <c:spPr>
            <a:solidFill>
              <a:srgbClr val="666666"/>
            </a:solidFill>
            <a:ln w="28800">
              <a:solidFill>
                <a:srgbClr val="666666"/>
              </a:solidFill>
              <a:round/>
            </a:ln>
          </c:spPr>
          <c:marker>
            <c:symbol val="none"/>
          </c:marker>
          <c:dLbls>
            <c:numFmt formatCode="General" sourceLinked="1"/>
            <c:txPr>
              <a:bodyPr/>
              <a:lstStyle/>
              <a:p>
                <a:pPr>
                  <a:defRPr b="0" sz="1000" spc="-1" strike="noStrike">
                    <a:latin typeface="Arial"/>
                  </a:defRPr>
                </a:pPr>
              </a:p>
            </c:txPr>
            <c:dLblPos val="r"/>
            <c:showLegendKey val="0"/>
            <c:showVal val="0"/>
            <c:showCatName val="0"/>
            <c:showSerName val="0"/>
            <c:showPercent val="0"/>
            <c:separator> </c:separator>
            <c:showLeaderLines val="0"/>
          </c:dLbls>
          <c:cat>
            <c:strRef>
              <c:f>Logboek!$A$2:$A$114</c:f>
              <c:strCache>
                <c:ptCount val="11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strCache>
            </c:strRef>
          </c:cat>
          <c:val>
            <c:numRef>
              <c:f>Logboek!$F$2:$F$114</c:f>
              <c:numCache>
                <c:formatCode>General</c:formatCode>
                <c:ptCount val="113"/>
                <c:pt idx="0">
                  <c:v>0</c:v>
                </c:pt>
                <c:pt idx="1">
                  <c:v>1</c:v>
                </c:pt>
                <c:pt idx="2">
                  <c:v>2</c:v>
                </c:pt>
                <c:pt idx="3">
                  <c:v>3</c:v>
                </c:pt>
                <c:pt idx="4">
                  <c:v>3</c:v>
                </c:pt>
                <c:pt idx="5">
                  <c:v>4</c:v>
                </c:pt>
                <c:pt idx="6">
                  <c:v>5</c:v>
                </c:pt>
                <c:pt idx="7">
                  <c:v>6</c:v>
                </c:pt>
                <c:pt idx="8">
                  <c:v>7</c:v>
                </c:pt>
                <c:pt idx="9">
                  <c:v>7</c:v>
                </c:pt>
                <c:pt idx="10">
                  <c:v>8</c:v>
                </c:pt>
                <c:pt idx="11">
                  <c:v>9</c:v>
                </c:pt>
                <c:pt idx="12">
                  <c:v>9</c:v>
                </c:pt>
                <c:pt idx="13">
                  <c:v>10</c:v>
                </c:pt>
                <c:pt idx="14">
                  <c:v>11</c:v>
                </c:pt>
                <c:pt idx="15">
                  <c:v>12</c:v>
                </c:pt>
                <c:pt idx="16">
                  <c:v>13</c:v>
                </c:pt>
                <c:pt idx="17">
                  <c:v>14</c:v>
                </c:pt>
                <c:pt idx="18">
                  <c:v>14</c:v>
                </c:pt>
                <c:pt idx="19">
                  <c:v>15</c:v>
                </c:pt>
                <c:pt idx="20">
                  <c:v>15</c:v>
                </c:pt>
                <c:pt idx="21">
                  <c:v>16</c:v>
                </c:pt>
                <c:pt idx="22">
                  <c:v>16</c:v>
                </c:pt>
                <c:pt idx="23">
                  <c:v>17</c:v>
                </c:pt>
                <c:pt idx="24">
                  <c:v>18</c:v>
                </c:pt>
                <c:pt idx="25">
                  <c:v>19</c:v>
                </c:pt>
                <c:pt idx="26">
                  <c:v>20</c:v>
                </c:pt>
                <c:pt idx="27">
                  <c:v>20</c:v>
                </c:pt>
                <c:pt idx="28">
                  <c:v>20</c:v>
                </c:pt>
                <c:pt idx="29">
                  <c:v>20</c:v>
                </c:pt>
                <c:pt idx="30">
                  <c:v>21</c:v>
                </c:pt>
                <c:pt idx="31">
                  <c:v>22</c:v>
                </c:pt>
                <c:pt idx="32">
                  <c:v>22</c:v>
                </c:pt>
                <c:pt idx="33">
                  <c:v>23</c:v>
                </c:pt>
                <c:pt idx="34">
                  <c:v>24</c:v>
                </c:pt>
                <c:pt idx="35">
                  <c:v>24</c:v>
                </c:pt>
                <c:pt idx="36">
                  <c:v>25</c:v>
                </c:pt>
                <c:pt idx="37">
                  <c:v>25</c:v>
                </c:pt>
                <c:pt idx="38">
                  <c:v>26</c:v>
                </c:pt>
                <c:pt idx="39">
                  <c:v>27</c:v>
                </c:pt>
                <c:pt idx="40">
                  <c:v>27</c:v>
                </c:pt>
                <c:pt idx="41">
                  <c:v>27</c:v>
                </c:pt>
                <c:pt idx="42">
                  <c:v>28</c:v>
                </c:pt>
                <c:pt idx="43">
                  <c:v>29</c:v>
                </c:pt>
                <c:pt idx="44">
                  <c:v>30</c:v>
                </c:pt>
                <c:pt idx="45">
                  <c:v>30</c:v>
                </c:pt>
                <c:pt idx="46">
                  <c:v>30</c:v>
                </c:pt>
                <c:pt idx="47">
                  <c:v>31</c:v>
                </c:pt>
                <c:pt idx="48">
                  <c:v>32</c:v>
                </c:pt>
                <c:pt idx="49">
                  <c:v>32</c:v>
                </c:pt>
                <c:pt idx="50">
                  <c:v>32</c:v>
                </c:pt>
                <c:pt idx="51">
                  <c:v>32</c:v>
                </c:pt>
                <c:pt idx="52">
                  <c:v>33</c:v>
                </c:pt>
                <c:pt idx="53">
                  <c:v>34</c:v>
                </c:pt>
                <c:pt idx="54">
                  <c:v>34</c:v>
                </c:pt>
                <c:pt idx="55">
                  <c:v>34</c:v>
                </c:pt>
                <c:pt idx="56">
                  <c:v>35</c:v>
                </c:pt>
                <c:pt idx="57">
                  <c:v>36</c:v>
                </c:pt>
                <c:pt idx="58">
                  <c:v>36</c:v>
                </c:pt>
                <c:pt idx="59">
                  <c:v>37</c:v>
                </c:pt>
                <c:pt idx="60">
                  <c:v>37</c:v>
                </c:pt>
                <c:pt idx="61">
                  <c:v>38</c:v>
                </c:pt>
                <c:pt idx="62">
                  <c:v>39</c:v>
                </c:pt>
                <c:pt idx="63">
                  <c:v>40</c:v>
                </c:pt>
                <c:pt idx="64">
                  <c:v>40</c:v>
                </c:pt>
                <c:pt idx="65">
                  <c:v>41</c:v>
                </c:pt>
                <c:pt idx="66">
                  <c:v>41</c:v>
                </c:pt>
                <c:pt idx="67">
                  <c:v>42</c:v>
                </c:pt>
                <c:pt idx="68">
                  <c:v>42</c:v>
                </c:pt>
                <c:pt idx="69">
                  <c:v>42</c:v>
                </c:pt>
                <c:pt idx="70">
                  <c:v>43</c:v>
                </c:pt>
                <c:pt idx="71">
                  <c:v>43</c:v>
                </c:pt>
                <c:pt idx="72">
                  <c:v>43</c:v>
                </c:pt>
                <c:pt idx="73">
                  <c:v>43</c:v>
                </c:pt>
                <c:pt idx="74">
                  <c:v>44</c:v>
                </c:pt>
                <c:pt idx="75">
                  <c:v>45</c:v>
                </c:pt>
                <c:pt idx="76">
                  <c:v>46</c:v>
                </c:pt>
                <c:pt idx="77">
                  <c:v>46</c:v>
                </c:pt>
                <c:pt idx="78">
                  <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numCache>
            </c:numRef>
          </c:val>
          <c:smooth val="0"/>
        </c:ser>
        <c:ser>
          <c:idx val="1"/>
          <c:order val="1"/>
          <c:tx>
            <c:strRef>
              <c:f>Logboek!$E$1:$E$1</c:f>
              <c:strCache>
                <c:ptCount val="1"/>
                <c:pt idx="0">
                  <c:v>Schets</c:v>
                </c:pt>
              </c:strCache>
            </c:strRef>
          </c:tx>
          <c:spPr>
            <a:solidFill>
              <a:srgbClr val="00a933"/>
            </a:solidFill>
            <a:ln w="28800">
              <a:solidFill>
                <a:srgbClr val="00a933"/>
              </a:solidFill>
              <a:round/>
            </a:ln>
          </c:spPr>
          <c:marker>
            <c:symbol val="none"/>
          </c:marker>
          <c:dLbls>
            <c:numFmt formatCode="General" sourceLinked="1"/>
            <c:txPr>
              <a:bodyPr/>
              <a:lstStyle/>
              <a:p>
                <a:pPr>
                  <a:defRPr b="0" sz="1000" spc="-1" strike="noStrike">
                    <a:latin typeface="Arial"/>
                  </a:defRPr>
                </a:pPr>
              </a:p>
            </c:txPr>
            <c:dLblPos val="r"/>
            <c:showLegendKey val="0"/>
            <c:showVal val="0"/>
            <c:showCatName val="0"/>
            <c:showSerName val="0"/>
            <c:showPercent val="0"/>
            <c:separator> </c:separator>
            <c:showLeaderLines val="0"/>
          </c:dLbls>
          <c:cat>
            <c:strRef>
              <c:f>Logboek!$A$2:$A$114</c:f>
              <c:strCache>
                <c:ptCount val="11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strCache>
            </c:strRef>
          </c:cat>
          <c:val>
            <c:numRef>
              <c:f>Logboek!$E$2:$E$114</c:f>
              <c:numCache>
                <c:formatCode>General</c:formatCode>
                <c:ptCount val="113"/>
                <c:pt idx="0">
                  <c:v>1</c:v>
                </c:pt>
                <c:pt idx="1">
                  <c:v>1</c:v>
                </c:pt>
                <c:pt idx="2">
                  <c:v>1</c:v>
                </c:pt>
                <c:pt idx="3">
                  <c:v>1</c:v>
                </c:pt>
                <c:pt idx="4">
                  <c:v>1</c:v>
                </c:pt>
                <c:pt idx="5">
                  <c:v>1</c:v>
                </c:pt>
                <c:pt idx="6">
                  <c:v>1</c:v>
                </c:pt>
                <c:pt idx="7">
                  <c:v>1</c:v>
                </c:pt>
                <c:pt idx="8">
                  <c:v>1</c:v>
                </c:pt>
                <c:pt idx="9">
                  <c:v>2</c:v>
                </c:pt>
                <c:pt idx="10">
                  <c:v>2</c:v>
                </c:pt>
                <c:pt idx="11">
                  <c:v>2</c:v>
                </c:pt>
                <c:pt idx="12">
                  <c:v>2</c:v>
                </c:pt>
                <c:pt idx="13">
                  <c:v>2</c:v>
                </c:pt>
                <c:pt idx="14">
                  <c:v>2</c:v>
                </c:pt>
                <c:pt idx="15">
                  <c:v>2</c:v>
                </c:pt>
                <c:pt idx="16">
                  <c:v>2</c:v>
                </c:pt>
                <c:pt idx="17">
                  <c:v>2</c:v>
                </c:pt>
                <c:pt idx="18">
                  <c:v>3</c:v>
                </c:pt>
                <c:pt idx="19">
                  <c:v>3</c:v>
                </c:pt>
                <c:pt idx="20">
                  <c:v>3</c:v>
                </c:pt>
                <c:pt idx="21">
                  <c:v>3</c:v>
                </c:pt>
                <c:pt idx="22">
                  <c:v>4</c:v>
                </c:pt>
                <c:pt idx="23">
                  <c:v>4</c:v>
                </c:pt>
                <c:pt idx="24">
                  <c:v>4</c:v>
                </c:pt>
                <c:pt idx="25">
                  <c:v>4</c:v>
                </c:pt>
                <c:pt idx="26">
                  <c:v>4</c:v>
                </c:pt>
                <c:pt idx="27">
                  <c:v>4</c:v>
                </c:pt>
                <c:pt idx="28">
                  <c:v>5</c:v>
                </c:pt>
                <c:pt idx="29">
                  <c:v>6</c:v>
                </c:pt>
                <c:pt idx="30">
                  <c:v>6</c:v>
                </c:pt>
                <c:pt idx="31">
                  <c:v>6</c:v>
                </c:pt>
                <c:pt idx="32">
                  <c:v>6</c:v>
                </c:pt>
                <c:pt idx="33">
                  <c:v>6</c:v>
                </c:pt>
                <c:pt idx="34">
                  <c:v>6</c:v>
                </c:pt>
                <c:pt idx="35">
                  <c:v>7</c:v>
                </c:pt>
                <c:pt idx="36">
                  <c:v>7</c:v>
                </c:pt>
                <c:pt idx="37">
                  <c:v>7</c:v>
                </c:pt>
                <c:pt idx="38">
                  <c:v>7</c:v>
                </c:pt>
                <c:pt idx="39">
                  <c:v>7</c:v>
                </c:pt>
                <c:pt idx="40">
                  <c:v>8</c:v>
                </c:pt>
                <c:pt idx="41">
                  <c:v>8</c:v>
                </c:pt>
                <c:pt idx="42">
                  <c:v>8</c:v>
                </c:pt>
                <c:pt idx="43">
                  <c:v>8</c:v>
                </c:pt>
                <c:pt idx="44">
                  <c:v>8</c:v>
                </c:pt>
                <c:pt idx="45">
                  <c:v>9</c:v>
                </c:pt>
                <c:pt idx="46">
                  <c:v>10</c:v>
                </c:pt>
                <c:pt idx="47">
                  <c:v>10</c:v>
                </c:pt>
                <c:pt idx="48">
                  <c:v>10</c:v>
                </c:pt>
                <c:pt idx="49">
                  <c:v>10</c:v>
                </c:pt>
                <c:pt idx="50">
                  <c:v>11</c:v>
                </c:pt>
                <c:pt idx="51">
                  <c:v>12</c:v>
                </c:pt>
                <c:pt idx="52">
                  <c:v>12</c:v>
                </c:pt>
                <c:pt idx="53">
                  <c:v>12</c:v>
                </c:pt>
                <c:pt idx="54">
                  <c:v>12</c:v>
                </c:pt>
                <c:pt idx="55">
                  <c:v>12</c:v>
                </c:pt>
                <c:pt idx="56">
                  <c:v>12</c:v>
                </c:pt>
                <c:pt idx="57">
                  <c:v>12</c:v>
                </c:pt>
                <c:pt idx="58">
                  <c:v>13</c:v>
                </c:pt>
                <c:pt idx="59">
                  <c:v>13</c:v>
                </c:pt>
                <c:pt idx="60">
                  <c:v>13</c:v>
                </c:pt>
                <c:pt idx="61">
                  <c:v>13</c:v>
                </c:pt>
                <c:pt idx="62">
                  <c:v>13</c:v>
                </c:pt>
                <c:pt idx="63">
                  <c:v>13</c:v>
                </c:pt>
                <c:pt idx="64">
                  <c:v>14</c:v>
                </c:pt>
                <c:pt idx="65">
                  <c:v>14</c:v>
                </c:pt>
                <c:pt idx="66">
                  <c:v>15</c:v>
                </c:pt>
                <c:pt idx="67">
                  <c:v>15</c:v>
                </c:pt>
                <c:pt idx="68">
                  <c:v>15</c:v>
                </c:pt>
                <c:pt idx="69">
                  <c:v>16</c:v>
                </c:pt>
                <c:pt idx="70">
                  <c:v>16</c:v>
                </c:pt>
                <c:pt idx="71">
                  <c:v>16</c:v>
                </c:pt>
                <c:pt idx="72">
                  <c:v>16</c:v>
                </c:pt>
                <c:pt idx="73">
                  <c:v>17</c:v>
                </c:pt>
                <c:pt idx="74">
                  <c:v>17</c:v>
                </c:pt>
                <c:pt idx="75">
                  <c:v>17</c:v>
                </c:pt>
                <c:pt idx="76">
                  <c:v>17</c:v>
                </c:pt>
                <c:pt idx="77">
                  <c:v>17</c:v>
                </c:pt>
                <c:pt idx="78">
                  <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numCache>
            </c:numRef>
          </c:val>
          <c:smooth val="0"/>
        </c:ser>
        <c:ser>
          <c:idx val="2"/>
          <c:order val="2"/>
          <c:tx>
            <c:strRef>
              <c:f>Logboek!$G$1:$G$1</c:f>
              <c:strCache>
                <c:ptCount val="1"/>
                <c:pt idx="0">
                  <c:v>Patroon</c:v>
                </c:pt>
              </c:strCache>
            </c:strRef>
          </c:tx>
          <c:spPr>
            <a:solidFill>
              <a:srgbClr val="ffbf00"/>
            </a:solidFill>
            <a:ln w="28800">
              <a:solidFill>
                <a:srgbClr val="ffbf00"/>
              </a:solidFill>
              <a:round/>
            </a:ln>
          </c:spPr>
          <c:marker>
            <c:symbol val="none"/>
          </c:marker>
          <c:dLbls>
            <c:numFmt formatCode="General" sourceLinked="1"/>
            <c:txPr>
              <a:bodyPr/>
              <a:lstStyle/>
              <a:p>
                <a:pPr>
                  <a:defRPr b="0" sz="1000" spc="-1" strike="noStrike">
                    <a:latin typeface="Arial"/>
                  </a:defRPr>
                </a:pPr>
              </a:p>
            </c:txPr>
            <c:dLblPos val="r"/>
            <c:showLegendKey val="0"/>
            <c:showVal val="0"/>
            <c:showCatName val="0"/>
            <c:showSerName val="0"/>
            <c:showPercent val="0"/>
            <c:separator> </c:separator>
            <c:showLeaderLines val="0"/>
          </c:dLbls>
          <c:cat>
            <c:strRef>
              <c:f>Logboek!$A$2:$A$114</c:f>
              <c:strCache>
                <c:ptCount val="11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strCache>
            </c:strRef>
          </c:cat>
          <c:val>
            <c:numRef>
              <c:f>Logboek!$G$2:$G$114</c:f>
              <c:numCache>
                <c:formatCode>General</c:formatCode>
                <c:ptCount val="113"/>
                <c:pt idx="0">
                  <c:v>0</c:v>
                </c:pt>
                <c:pt idx="1">
                  <c:v>0</c:v>
                </c:pt>
                <c:pt idx="2">
                  <c:v>0</c:v>
                </c:pt>
                <c:pt idx="3">
                  <c:v>0</c:v>
                </c:pt>
                <c:pt idx="4">
                  <c:v>1</c:v>
                </c:pt>
                <c:pt idx="5">
                  <c:v>1</c:v>
                </c:pt>
                <c:pt idx="6">
                  <c:v>1</c:v>
                </c:pt>
                <c:pt idx="7">
                  <c:v>1</c:v>
                </c:pt>
                <c:pt idx="8">
                  <c:v>1</c:v>
                </c:pt>
                <c:pt idx="9">
                  <c:v>1</c:v>
                </c:pt>
                <c:pt idx="10">
                  <c:v>1</c:v>
                </c:pt>
                <c:pt idx="11">
                  <c:v>1</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3</c:v>
                </c:pt>
                <c:pt idx="28">
                  <c:v>3</c:v>
                </c:pt>
                <c:pt idx="29">
                  <c:v>3</c:v>
                </c:pt>
                <c:pt idx="30">
                  <c:v>3</c:v>
                </c:pt>
                <c:pt idx="31">
                  <c:v>3</c:v>
                </c:pt>
                <c:pt idx="32">
                  <c:v>4</c:v>
                </c:pt>
                <c:pt idx="33">
                  <c:v>4</c:v>
                </c:pt>
                <c:pt idx="34">
                  <c:v>4</c:v>
                </c:pt>
                <c:pt idx="35">
                  <c:v>4</c:v>
                </c:pt>
                <c:pt idx="36">
                  <c:v>4</c:v>
                </c:pt>
                <c:pt idx="37">
                  <c:v>4</c:v>
                </c:pt>
                <c:pt idx="38">
                  <c:v>4</c:v>
                </c:pt>
                <c:pt idx="39">
                  <c:v>4</c:v>
                </c:pt>
                <c:pt idx="40">
                  <c:v>4</c:v>
                </c:pt>
                <c:pt idx="41">
                  <c:v>5</c:v>
                </c:pt>
                <c:pt idx="42">
                  <c:v>5</c:v>
                </c:pt>
                <c:pt idx="43">
                  <c:v>5</c:v>
                </c:pt>
                <c:pt idx="44">
                  <c:v>5</c:v>
                </c:pt>
                <c:pt idx="45">
                  <c:v>5</c:v>
                </c:pt>
                <c:pt idx="46">
                  <c:v>5</c:v>
                </c:pt>
                <c:pt idx="47">
                  <c:v>5</c:v>
                </c:pt>
                <c:pt idx="48">
                  <c:v>5</c:v>
                </c:pt>
                <c:pt idx="49">
                  <c:v>5</c:v>
                </c:pt>
                <c:pt idx="50">
                  <c:v>5</c:v>
                </c:pt>
                <c:pt idx="51">
                  <c:v>5</c:v>
                </c:pt>
                <c:pt idx="52">
                  <c:v>5</c:v>
                </c:pt>
                <c:pt idx="53">
                  <c:v>5</c:v>
                </c:pt>
                <c:pt idx="54">
                  <c:v>6</c:v>
                </c:pt>
                <c:pt idx="55">
                  <c:v>7</c:v>
                </c:pt>
                <c:pt idx="56">
                  <c:v>7</c:v>
                </c:pt>
                <c:pt idx="57">
                  <c:v>7</c:v>
                </c:pt>
                <c:pt idx="58">
                  <c:v>7</c:v>
                </c:pt>
                <c:pt idx="59">
                  <c:v>7</c:v>
                </c:pt>
                <c:pt idx="60">
                  <c:v>8</c:v>
                </c:pt>
                <c:pt idx="61">
                  <c:v>8</c:v>
                </c:pt>
                <c:pt idx="62">
                  <c:v>8</c:v>
                </c:pt>
                <c:pt idx="63">
                  <c:v>8</c:v>
                </c:pt>
                <c:pt idx="64">
                  <c:v>8</c:v>
                </c:pt>
                <c:pt idx="65">
                  <c:v>8</c:v>
                </c:pt>
                <c:pt idx="66">
                  <c:v>8</c:v>
                </c:pt>
                <c:pt idx="67">
                  <c:v>8</c:v>
                </c:pt>
                <c:pt idx="68">
                  <c:v>9</c:v>
                </c:pt>
                <c:pt idx="69">
                  <c:v>9</c:v>
                </c:pt>
                <c:pt idx="70">
                  <c:v>9</c:v>
                </c:pt>
                <c:pt idx="71">
                  <c:v>10</c:v>
                </c:pt>
                <c:pt idx="72">
                  <c:v>10</c:v>
                </c:pt>
                <c:pt idx="73">
                  <c:v>10</c:v>
                </c:pt>
                <c:pt idx="74">
                  <c:v>10</c:v>
                </c:pt>
                <c:pt idx="75">
                  <c:v>10</c:v>
                </c:pt>
                <c:pt idx="76">
                  <c:v>10</c:v>
                </c:pt>
                <c:pt idx="77">
                  <c:v>11</c:v>
                </c:pt>
                <c:pt idx="78">
                  <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numCache>
            </c:numRef>
          </c:val>
          <c:smooth val="0"/>
        </c:ser>
        <c:ser>
          <c:idx val="3"/>
          <c:order val="3"/>
          <c:tx>
            <c:strRef>
              <c:f>Logboek!$H$1:$H$1</c:f>
              <c:strCache>
                <c:ptCount val="1"/>
                <c:pt idx="0">
                  <c:v>Gedicht</c:v>
                </c:pt>
              </c:strCache>
            </c:strRef>
          </c:tx>
          <c:spPr>
            <a:solidFill>
              <a:srgbClr val="ff0000"/>
            </a:solidFill>
            <a:ln w="28800">
              <a:solidFill>
                <a:srgbClr val="ff0000"/>
              </a:solidFill>
              <a:round/>
            </a:ln>
          </c:spPr>
          <c:marker>
            <c:symbol val="none"/>
          </c:marker>
          <c:dLbls>
            <c:numFmt formatCode="General" sourceLinked="1"/>
            <c:txPr>
              <a:bodyPr/>
              <a:lstStyle/>
              <a:p>
                <a:pPr>
                  <a:defRPr b="0" sz="1000" spc="-1" strike="noStrike">
                    <a:latin typeface="Arial"/>
                  </a:defRPr>
                </a:pPr>
              </a:p>
            </c:txPr>
            <c:dLblPos val="r"/>
            <c:showLegendKey val="0"/>
            <c:showVal val="0"/>
            <c:showCatName val="0"/>
            <c:showSerName val="0"/>
            <c:showPercent val="0"/>
            <c:separator> </c:separator>
            <c:showLeaderLines val="0"/>
          </c:dLbls>
          <c:cat>
            <c:strRef>
              <c:f>Logboek!$A$2:$A$114</c:f>
              <c:strCache>
                <c:ptCount val="11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strCache>
            </c:strRef>
          </c:cat>
          <c:val>
            <c:numRef>
              <c:f>Logboek!$H$2:$H$114</c:f>
              <c:numCache>
                <c:formatCode>General</c:formatCode>
                <c:ptCount val="11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2</c:v>
                </c:pt>
                <c:pt idx="38">
                  <c:v>2</c:v>
                </c:pt>
                <c:pt idx="39">
                  <c:v>2</c:v>
                </c:pt>
                <c:pt idx="40">
                  <c:v>2</c:v>
                </c:pt>
                <c:pt idx="41">
                  <c:v>2</c:v>
                </c:pt>
                <c:pt idx="42">
                  <c:v>2</c:v>
                </c:pt>
                <c:pt idx="43">
                  <c:v>2</c:v>
                </c:pt>
                <c:pt idx="44">
                  <c:v>2</c:v>
                </c:pt>
                <c:pt idx="45">
                  <c:v>2</c:v>
                </c:pt>
                <c:pt idx="46">
                  <c:v>2</c:v>
                </c:pt>
                <c:pt idx="47">
                  <c:v>2</c:v>
                </c:pt>
                <c:pt idx="48">
                  <c:v>2</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3</c:v>
                </c:pt>
                <c:pt idx="72">
                  <c:v>4</c:v>
                </c:pt>
                <c:pt idx="73">
                  <c:v>4</c:v>
                </c:pt>
                <c:pt idx="74">
                  <c:v>4</c:v>
                </c:pt>
                <c:pt idx="75">
                  <c:v>4</c:v>
                </c:pt>
                <c:pt idx="76">
                  <c:v>4</c:v>
                </c:pt>
                <c:pt idx="77">
                  <c:v>4</c:v>
                </c:pt>
                <c:pt idx="78">
                  <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numCache>
            </c:numRef>
          </c:val>
          <c:smooth val="0"/>
        </c:ser>
        <c:hiLowLines>
          <c:spPr>
            <a:ln>
              <a:noFill/>
            </a:ln>
          </c:spPr>
        </c:hiLowLines>
        <c:marker val="0"/>
        <c:axId val="88581778"/>
        <c:axId val="12737401"/>
      </c:lineChart>
      <c:catAx>
        <c:axId val="88581778"/>
        <c:scaling>
          <c:orientation val="minMax"/>
        </c:scaling>
        <c:delete val="0"/>
        <c:axPos val="b"/>
        <c:title>
          <c:tx>
            <c:rich>
              <a:bodyPr rot="0"/>
              <a:lstStyle/>
              <a:p>
                <a:pPr>
                  <a:defRPr b="0" sz="900" spc="-1" strike="noStrike">
                    <a:latin typeface="Arial"/>
                  </a:defRPr>
                </a:pPr>
                <a:r>
                  <a:rPr b="0" sz="900" spc="-1" strike="noStrike">
                    <a:latin typeface="Arial"/>
                  </a:rPr>
                  <a:t>Pagina</a:t>
                </a:r>
              </a:p>
            </c:rich>
          </c:tx>
          <c:overlay val="0"/>
          <c:spPr>
            <a:noFill/>
            <a:ln>
              <a:noFill/>
            </a:ln>
          </c:spPr>
        </c:title>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12737401"/>
        <c:crosses val="autoZero"/>
        <c:auto val="1"/>
        <c:lblAlgn val="ctr"/>
        <c:lblOffset val="100"/>
      </c:catAx>
      <c:valAx>
        <c:axId val="12737401"/>
        <c:scaling>
          <c:orientation val="minMax"/>
        </c:scaling>
        <c:delete val="0"/>
        <c:axPos val="l"/>
        <c:majorGridlines>
          <c:spPr>
            <a:ln>
              <a:solidFill>
                <a:srgbClr val="b3b3b3"/>
              </a:solidFill>
            </a:ln>
          </c:spPr>
        </c:majorGridlines>
        <c:title>
          <c:tx>
            <c:rich>
              <a:bodyPr rot="-5400000"/>
              <a:lstStyle/>
              <a:p>
                <a:pPr>
                  <a:defRPr b="0" sz="900" spc="-1" strike="noStrike">
                    <a:latin typeface="Arial"/>
                  </a:defRPr>
                </a:pPr>
                <a:r>
                  <a:rPr b="0" sz="900" spc="-1" strike="noStrike">
                    <a:latin typeface="Arial"/>
                  </a:rPr>
                  <a:t>Aantal</a:t>
                </a:r>
              </a:p>
            </c:rich>
          </c:tx>
          <c:overlay val="0"/>
          <c:spPr>
            <a:noFill/>
            <a:ln>
              <a:noFill/>
            </a:ln>
          </c:spPr>
        </c:title>
        <c:numFmt formatCode="General" sourceLinked="0"/>
        <c:majorTickMark val="out"/>
        <c:minorTickMark val="none"/>
        <c:tickLblPos val="nextTo"/>
        <c:spPr>
          <a:ln>
            <a:solidFill>
              <a:srgbClr val="b3b3b3"/>
            </a:solidFill>
          </a:ln>
        </c:spPr>
        <c:txPr>
          <a:bodyPr/>
          <a:lstStyle/>
          <a:p>
            <a:pPr>
              <a:defRPr b="0" sz="1000" spc="-1" strike="noStrike">
                <a:latin typeface="Arial"/>
              </a:defRPr>
            </a:pPr>
          </a:p>
        </c:txPr>
        <c:crossAx val="88581778"/>
        <c:crosses val="autoZero"/>
        <c:crossBetween val="midCat"/>
      </c:valAx>
      <c:spPr>
        <a:noFill/>
        <a:ln>
          <a:solidFill>
            <a:srgbClr val="b3b3b3"/>
          </a:solidFill>
        </a:ln>
      </c:spPr>
    </c:plotArea>
    <c:legend>
      <c:legendPos val="r"/>
      <c:overlay val="0"/>
      <c:spPr>
        <a:noFill/>
        <a:ln>
          <a:noFill/>
        </a:ln>
      </c:spPr>
      <c:txPr>
        <a:bodyPr/>
        <a:lstStyle/>
        <a:p>
          <a:pPr>
            <a:defRPr b="0" sz="1000" spc="-1" strike="noStrike">
              <a:latin typeface="Arial"/>
            </a:defRPr>
          </a:pPr>
        </a:p>
      </c:txPr>
    </c:legend>
    <c:plotVisOnly val="1"/>
    <c:dispBlanksAs val="gap"/>
  </c:chart>
  <c:spPr>
    <a:solidFill>
      <a:srgbClr val="ffffff"/>
    </a:solidFill>
    <a:ln>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Ongevallen</a:t>
            </a:r>
          </a:p>
        </c:rich>
      </c:tx>
      <c:overlay val="0"/>
      <c:spPr>
        <a:noFill/>
        <a:ln>
          <a:noFill/>
        </a:ln>
      </c:spPr>
    </c:title>
    <c:autoTitleDeleted val="0"/>
    <c:plotArea>
      <c:layout>
        <c:manualLayout>
          <c:layoutTarget val="inner"/>
          <c:xMode val="edge"/>
          <c:yMode val="edge"/>
          <c:x val="0.0889541789085454"/>
          <c:y val="0.110925864176948"/>
          <c:w val="0.846158654747765"/>
          <c:h val="0.793709014115816"/>
        </c:manualLayout>
      </c:layout>
      <c:lineChart>
        <c:grouping val="standard"/>
        <c:varyColors val="0"/>
        <c:ser>
          <c:idx val="0"/>
          <c:order val="0"/>
          <c:tx>
            <c:strRef>
              <c:f>"Datum"</c:f>
              <c:strCache>
                <c:ptCount val="1"/>
                <c:pt idx="0">
                  <c:v>Datum</c:v>
                </c:pt>
              </c:strCache>
            </c:strRef>
          </c:tx>
          <c:spPr>
            <a:solidFill>
              <a:srgbClr val="ff420e"/>
            </a:solidFill>
            <a:ln w="28800">
              <a:solidFill>
                <a:srgbClr val="ff420e"/>
              </a:solidFill>
              <a:round/>
            </a:ln>
          </c:spPr>
          <c:marker>
            <c:symbol val="none"/>
          </c:marker>
          <c:dLbls>
            <c:numFmt formatCode="General" sourceLinked="1"/>
            <c:txPr>
              <a:bodyPr/>
              <a:lstStyle/>
              <a:p>
                <a:pPr>
                  <a:defRPr b="0" sz="1000" spc="-1" strike="noStrike">
                    <a:latin typeface="Arial"/>
                  </a:defRPr>
                </a:pPr>
              </a:p>
            </c:txPr>
            <c:dLblPos val="r"/>
            <c:showLegendKey val="0"/>
            <c:showVal val="0"/>
            <c:showCatName val="0"/>
            <c:showSerName val="0"/>
            <c:showPercent val="0"/>
            <c:separator> </c:separator>
            <c:showLeaderLines val="0"/>
          </c:dLbls>
          <c:val>
            <c:numRef>
              <c:f>Ongevallen!$D$2:$D$20</c:f>
              <c:numCache>
                <c:formatCode>General</c:formatCode>
                <c:ptCount val="19"/>
                <c:pt idx="0">
                  <c:v>429.419178082192</c:v>
                </c:pt>
                <c:pt idx="1">
                  <c:v>429.419178082192</c:v>
                </c:pt>
                <c:pt idx="2">
                  <c:v>432.419178082192</c:v>
                </c:pt>
                <c:pt idx="3">
                  <c:v>433.419178082192</c:v>
                </c:pt>
                <c:pt idx="4">
                  <c:v>436.419178082192</c:v>
                </c:pt>
                <c:pt idx="5">
                  <c:v>436.419178082192</c:v>
                </c:pt>
                <c:pt idx="6">
                  <c:v>437.419178082192</c:v>
                </c:pt>
                <c:pt idx="7">
                  <c:v>439.419178082192</c:v>
                </c:pt>
                <c:pt idx="8">
                  <c:v>440.419178082192</c:v>
                </c:pt>
                <c:pt idx="9">
                  <c:v>443.419178082192</c:v>
                </c:pt>
                <c:pt idx="10">
                  <c:v>446.419178082192</c:v>
                </c:pt>
                <c:pt idx="11">
                  <c:v>447.419178082192</c:v>
                </c:pt>
                <c:pt idx="12">
                  <c:v>447.419178082192</c:v>
                </c:pt>
                <c:pt idx="13">
                  <c:v>448.419178082192</c:v>
                </c:pt>
                <c:pt idx="14">
                  <c:v>449.419178082192</c:v>
                </c:pt>
                <c:pt idx="15">
                  <c:v>449.419178082192</c:v>
                </c:pt>
                <c:pt idx="16">
                  <c:v>450.419178082192</c:v>
                </c:pt>
                <c:pt idx="17">
                  <c:v>450.419178082192</c:v>
                </c:pt>
                <c:pt idx="18">
                  <c:v/>
                </c:pt>
              </c:numCache>
            </c:numRef>
          </c:val>
          <c:smooth val="0"/>
        </c:ser>
        <c:hiLowLines>
          <c:spPr>
            <a:ln>
              <a:noFill/>
            </a:ln>
          </c:spPr>
        </c:hiLowLines>
        <c:marker val="0"/>
        <c:axId val="58617047"/>
        <c:axId val="25462843"/>
      </c:lineChart>
      <c:catAx>
        <c:axId val="58617047"/>
        <c:scaling>
          <c:orientation val="minMax"/>
        </c:scaling>
        <c:delete val="1"/>
        <c:axPos val="b"/>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25462843"/>
        <c:crosses val="autoZero"/>
        <c:auto val="1"/>
        <c:lblAlgn val="ctr"/>
        <c:lblOffset val="100"/>
      </c:catAx>
      <c:valAx>
        <c:axId val="25462843"/>
        <c:scaling>
          <c:orientation val="minMax"/>
        </c:scaling>
        <c:delete val="0"/>
        <c:axPos val="l"/>
        <c:majorGridlines>
          <c:spPr>
            <a:ln>
              <a:solidFill>
                <a:srgbClr val="b3b3b3"/>
              </a:solidFill>
            </a:ln>
          </c:spPr>
        </c:majorGridlines>
        <c:title>
          <c:tx>
            <c:rich>
              <a:bodyPr rot="-5400000"/>
              <a:lstStyle/>
              <a:p>
                <a:pPr>
                  <a:defRPr b="0" sz="900" spc="-1" strike="noStrike">
                    <a:latin typeface="Arial"/>
                  </a:defRPr>
                </a:pPr>
                <a:r>
                  <a:rPr b="0" sz="900" spc="-1" strike="noStrike">
                    <a:latin typeface="Arial"/>
                  </a:rPr>
                  <a:t>Datum</a:t>
                </a:r>
              </a:p>
            </c:rich>
          </c:tx>
          <c:overlay val="0"/>
          <c:spPr>
            <a:noFill/>
            <a:ln>
              <a:noFill/>
            </a:ln>
          </c:spPr>
        </c:title>
        <c:numFmt formatCode="General" sourceLinked="0"/>
        <c:majorTickMark val="out"/>
        <c:minorTickMark val="none"/>
        <c:tickLblPos val="nextTo"/>
        <c:spPr>
          <a:ln>
            <a:solidFill>
              <a:srgbClr val="b3b3b3"/>
            </a:solidFill>
          </a:ln>
        </c:spPr>
        <c:txPr>
          <a:bodyPr/>
          <a:lstStyle/>
          <a:p>
            <a:pPr>
              <a:defRPr b="0" sz="1000" spc="-1" strike="noStrike">
                <a:latin typeface="Arial"/>
              </a:defRPr>
            </a:pPr>
          </a:p>
        </c:txPr>
        <c:crossAx val="58617047"/>
        <c:crosses val="autoZero"/>
        <c:crossBetween val="midCat"/>
      </c:valAx>
      <c:spPr>
        <a:noFill/>
        <a:ln>
          <a:solidFill>
            <a:srgbClr val="b3b3b3"/>
          </a:solidFill>
        </a:ln>
      </c:spPr>
    </c:plotArea>
    <c:plotVisOnly val="0"/>
    <c:dispBlanksAs val="gap"/>
  </c:chart>
  <c:spPr>
    <a:solidFill>
      <a:srgbClr val="ffffff"/>
    </a:solidFill>
    <a:ln>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532080</xdr:colOff>
      <xdr:row>3</xdr:row>
      <xdr:rowOff>56160</xdr:rowOff>
    </xdr:from>
    <xdr:to>
      <xdr:col>17</xdr:col>
      <xdr:colOff>179640</xdr:colOff>
      <xdr:row>23</xdr:row>
      <xdr:rowOff>43200</xdr:rowOff>
    </xdr:to>
    <xdr:graphicFrame>
      <xdr:nvGraphicFramePr>
        <xdr:cNvPr id="0" name=""/>
        <xdr:cNvGraphicFramePr/>
      </xdr:nvGraphicFramePr>
      <xdr:xfrm>
        <a:off x="6578280" y="543600"/>
        <a:ext cx="5758200" cy="323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695160</xdr:colOff>
      <xdr:row>32</xdr:row>
      <xdr:rowOff>103680</xdr:rowOff>
    </xdr:from>
    <xdr:to>
      <xdr:col>17</xdr:col>
      <xdr:colOff>343440</xdr:colOff>
      <xdr:row>52</xdr:row>
      <xdr:rowOff>91440</xdr:rowOff>
    </xdr:to>
    <xdr:graphicFrame>
      <xdr:nvGraphicFramePr>
        <xdr:cNvPr id="1" name=""/>
        <xdr:cNvGraphicFramePr/>
      </xdr:nvGraphicFramePr>
      <xdr:xfrm>
        <a:off x="6741360" y="5305320"/>
        <a:ext cx="5758920" cy="323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393840</xdr:colOff>
      <xdr:row>1</xdr:row>
      <xdr:rowOff>84240</xdr:rowOff>
    </xdr:from>
    <xdr:to>
      <xdr:col>12</xdr:col>
      <xdr:colOff>462960</xdr:colOff>
      <xdr:row>21</xdr:row>
      <xdr:rowOff>71640</xdr:rowOff>
    </xdr:to>
    <xdr:graphicFrame>
      <xdr:nvGraphicFramePr>
        <xdr:cNvPr id="2" name=""/>
        <xdr:cNvGraphicFramePr/>
      </xdr:nvGraphicFramePr>
      <xdr:xfrm>
        <a:off x="2646720" y="246600"/>
        <a:ext cx="5758560" cy="323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MJ1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80" activeCellId="0" sqref="B80"/>
    </sheetView>
  </sheetViews>
  <sheetFormatPr defaultRowHeight="12.8" zeroHeight="false" outlineLevelRow="0" outlineLevelCol="0"/>
  <cols>
    <col collapsed="false" customWidth="true" hidden="false" outlineLevel="0" max="1" min="1" style="1" width="7.54"/>
    <col collapsed="false" customWidth="true" hidden="false" outlineLevel="0" max="2" min="2" style="1" width="7.13"/>
    <col collapsed="false" customWidth="true" hidden="false" outlineLevel="0" max="3" min="3" style="2" width="17.13"/>
    <col collapsed="false" customWidth="true" hidden="false" outlineLevel="0" max="4" min="4" style="1" width="7.82"/>
    <col collapsed="false" customWidth="false" hidden="false" outlineLevel="0" max="8" min="5" style="1" width="11.52"/>
    <col collapsed="false" customWidth="false" hidden="false" outlineLevel="0" max="9" min="9" style="0" width="11.52"/>
    <col collapsed="false" customWidth="true" hidden="false" outlineLevel="0" max="10" min="10" style="0" width="7.82"/>
    <col collapsed="false" customWidth="true" hidden="false" outlineLevel="0" max="11" min="11" style="0" width="3.51"/>
    <col collapsed="false" customWidth="true" hidden="false" outlineLevel="0" max="12" min="12" style="0" width="6.16"/>
    <col collapsed="false" customWidth="false" hidden="false" outlineLevel="0" max="1025" min="13" style="0" width="11.52"/>
  </cols>
  <sheetData>
    <row r="1" s="3" customFormat="true" ht="12.8" hidden="false" customHeight="false" outlineLevel="0" collapsed="false">
      <c r="A1" s="3" t="s">
        <v>0</v>
      </c>
      <c r="B1" s="3" t="s">
        <v>1</v>
      </c>
      <c r="C1" s="4" t="s">
        <v>2</v>
      </c>
      <c r="D1" s="3" t="s">
        <v>3</v>
      </c>
      <c r="E1" s="3" t="s">
        <v>4</v>
      </c>
      <c r="F1" s="3" t="s">
        <v>5</v>
      </c>
      <c r="G1" s="3" t="s">
        <v>6</v>
      </c>
      <c r="H1" s="3" t="s">
        <v>7</v>
      </c>
      <c r="AMJ1" s="0"/>
    </row>
    <row r="2" customFormat="false" ht="12.8" hidden="false" customHeight="false" outlineLevel="0" collapsed="false">
      <c r="A2" s="1" t="n">
        <v>0</v>
      </c>
      <c r="B2" s="1" t="n">
        <v>1</v>
      </c>
      <c r="C2" s="2" t="s">
        <v>8</v>
      </c>
      <c r="D2" s="3" t="s">
        <v>4</v>
      </c>
      <c r="E2" s="5" t="n">
        <f aca="false">COUNTIF($D$2:$D2,E$1)</f>
        <v>1</v>
      </c>
      <c r="F2" s="5" t="n">
        <f aca="false">COUNTIF($D$2:$D2,F$1)</f>
        <v>0</v>
      </c>
      <c r="G2" s="5" t="n">
        <f aca="false">COUNTIF($D$2:$D2,G$1)</f>
        <v>0</v>
      </c>
      <c r="H2" s="5" t="n">
        <f aca="false">COUNTIF($D$2:$D2,H$1)</f>
        <v>0</v>
      </c>
    </row>
    <row r="3" customFormat="false" ht="12.8" hidden="false" customHeight="false" outlineLevel="0" collapsed="false">
      <c r="A3" s="1" t="n">
        <v>1</v>
      </c>
      <c r="B3" s="1" t="n">
        <v>1</v>
      </c>
      <c r="D3" s="5" t="s">
        <v>5</v>
      </c>
      <c r="E3" s="5" t="n">
        <f aca="false">COUNTIF($D$2:$D3,E$1)</f>
        <v>1</v>
      </c>
      <c r="F3" s="5" t="n">
        <f aca="false">COUNTIF($D$2:$D3,F$1)</f>
        <v>1</v>
      </c>
      <c r="G3" s="5" t="n">
        <f aca="false">COUNTIF($D$2:$D3,G$1)</f>
        <v>0</v>
      </c>
      <c r="H3" s="5" t="n">
        <f aca="false">COUNTIF($D$2:$D3,H$1)</f>
        <v>0</v>
      </c>
    </row>
    <row r="4" customFormat="false" ht="12.8" hidden="false" customHeight="false" outlineLevel="0" collapsed="false">
      <c r="A4" s="1" t="n">
        <v>2</v>
      </c>
      <c r="B4" s="1" t="n">
        <v>2</v>
      </c>
      <c r="D4" s="5" t="s">
        <v>5</v>
      </c>
      <c r="E4" s="5" t="n">
        <f aca="false">COUNTIF($D$2:$D4,E$1)</f>
        <v>1</v>
      </c>
      <c r="F4" s="5" t="n">
        <f aca="false">COUNTIF($D$2:$D4,F$1)</f>
        <v>2</v>
      </c>
      <c r="G4" s="5" t="n">
        <f aca="false">COUNTIF($D$2:$D4,G$1)</f>
        <v>0</v>
      </c>
      <c r="H4" s="5" t="n">
        <f aca="false">COUNTIF($D$2:$D4,H$1)</f>
        <v>0</v>
      </c>
    </row>
    <row r="5" customFormat="false" ht="12.8" hidden="false" customHeight="false" outlineLevel="0" collapsed="false">
      <c r="A5" s="1" t="n">
        <v>3</v>
      </c>
      <c r="B5" s="1" t="n">
        <v>3</v>
      </c>
      <c r="D5" s="5" t="s">
        <v>5</v>
      </c>
      <c r="E5" s="5" t="n">
        <f aca="false">COUNTIF($D$2:$D5,E$1)</f>
        <v>1</v>
      </c>
      <c r="F5" s="5" t="n">
        <f aca="false">COUNTIF($D$2:$D5,F$1)</f>
        <v>3</v>
      </c>
      <c r="G5" s="5" t="n">
        <f aca="false">COUNTIF($D$2:$D5,G$1)</f>
        <v>0</v>
      </c>
      <c r="H5" s="5" t="n">
        <f aca="false">COUNTIF($D$2:$D5,H$1)</f>
        <v>0</v>
      </c>
    </row>
    <row r="6" customFormat="false" ht="12.8" hidden="false" customHeight="false" outlineLevel="0" collapsed="false">
      <c r="A6" s="1" t="n">
        <v>4</v>
      </c>
      <c r="B6" s="1" t="n">
        <v>5</v>
      </c>
      <c r="C6" s="2" t="s">
        <v>9</v>
      </c>
      <c r="D6" s="5" t="s">
        <v>6</v>
      </c>
      <c r="E6" s="5" t="n">
        <f aca="false">COUNTIF($D$2:$D6,E$1)</f>
        <v>1</v>
      </c>
      <c r="F6" s="5" t="n">
        <f aca="false">COUNTIF($D$2:$D6,F$1)</f>
        <v>3</v>
      </c>
      <c r="G6" s="5" t="n">
        <f aca="false">COUNTIF($D$2:$D6,G$1)</f>
        <v>1</v>
      </c>
      <c r="H6" s="5" t="n">
        <f aca="false">COUNTIF($D$2:$D6,H$1)</f>
        <v>0</v>
      </c>
    </row>
    <row r="7" customFormat="false" ht="12.8" hidden="false" customHeight="false" outlineLevel="0" collapsed="false">
      <c r="A7" s="1" t="n">
        <v>5</v>
      </c>
      <c r="B7" s="1" t="n">
        <v>6</v>
      </c>
      <c r="D7" s="5" t="s">
        <v>5</v>
      </c>
      <c r="E7" s="5" t="n">
        <f aca="false">COUNTIF($D$2:$D7,E$1)</f>
        <v>1</v>
      </c>
      <c r="F7" s="5" t="n">
        <f aca="false">COUNTIF($D$2:$D7,F$1)</f>
        <v>4</v>
      </c>
      <c r="G7" s="5" t="n">
        <f aca="false">COUNTIF($D$2:$D7,G$1)</f>
        <v>1</v>
      </c>
      <c r="H7" s="5" t="n">
        <f aca="false">COUNTIF($D$2:$D7,H$1)</f>
        <v>0</v>
      </c>
    </row>
    <row r="8" customFormat="false" ht="12.8" hidden="false" customHeight="false" outlineLevel="0" collapsed="false">
      <c r="A8" s="1" t="n">
        <v>6</v>
      </c>
      <c r="B8" s="1" t="n">
        <v>8</v>
      </c>
      <c r="D8" s="5" t="s">
        <v>5</v>
      </c>
      <c r="E8" s="5" t="n">
        <f aca="false">COUNTIF($D$2:$D8,E$1)</f>
        <v>1</v>
      </c>
      <c r="F8" s="5" t="n">
        <f aca="false">COUNTIF($D$2:$D8,F$1)</f>
        <v>5</v>
      </c>
      <c r="G8" s="5" t="n">
        <f aca="false">COUNTIF($D$2:$D8,G$1)</f>
        <v>1</v>
      </c>
      <c r="H8" s="5" t="n">
        <f aca="false">COUNTIF($D$2:$D8,H$1)</f>
        <v>0</v>
      </c>
    </row>
    <row r="9" customFormat="false" ht="12.8" hidden="false" customHeight="false" outlineLevel="0" collapsed="false">
      <c r="A9" s="1" t="n">
        <v>7</v>
      </c>
      <c r="B9" s="1" t="n">
        <v>11</v>
      </c>
      <c r="D9" s="5" t="s">
        <v>5</v>
      </c>
      <c r="E9" s="5" t="n">
        <f aca="false">COUNTIF($D$2:$D9,E$1)</f>
        <v>1</v>
      </c>
      <c r="F9" s="5" t="n">
        <f aca="false">COUNTIF($D$2:$D9,F$1)</f>
        <v>6</v>
      </c>
      <c r="G9" s="5" t="n">
        <f aca="false">COUNTIF($D$2:$D9,G$1)</f>
        <v>1</v>
      </c>
      <c r="H9" s="5" t="n">
        <f aca="false">COUNTIF($D$2:$D9,H$1)</f>
        <v>0</v>
      </c>
    </row>
    <row r="10" customFormat="false" ht="12.8" hidden="false" customHeight="false" outlineLevel="0" collapsed="false">
      <c r="A10" s="1" t="n">
        <v>8</v>
      </c>
      <c r="B10" s="1" t="n">
        <v>13</v>
      </c>
      <c r="D10" s="5" t="s">
        <v>5</v>
      </c>
      <c r="E10" s="5" t="n">
        <f aca="false">COUNTIF($D$2:$D10,E$1)</f>
        <v>1</v>
      </c>
      <c r="F10" s="5" t="n">
        <f aca="false">COUNTIF($D$2:$D10,F$1)</f>
        <v>7</v>
      </c>
      <c r="G10" s="5" t="n">
        <f aca="false">COUNTIF($D$2:$D10,G$1)</f>
        <v>1</v>
      </c>
      <c r="H10" s="5" t="n">
        <f aca="false">COUNTIF($D$2:$D10,H$1)</f>
        <v>0</v>
      </c>
    </row>
    <row r="11" customFormat="false" ht="12.8" hidden="false" customHeight="false" outlineLevel="0" collapsed="false">
      <c r="A11" s="1" t="n">
        <v>9</v>
      </c>
      <c r="B11" s="1" t="n">
        <v>13</v>
      </c>
      <c r="C11" s="2" t="s">
        <v>10</v>
      </c>
      <c r="D11" s="5" t="s">
        <v>4</v>
      </c>
      <c r="E11" s="5" t="n">
        <f aca="false">COUNTIF($D$2:$D11,E$1)</f>
        <v>2</v>
      </c>
      <c r="F11" s="5" t="n">
        <f aca="false">COUNTIF($D$2:$D11,F$1)</f>
        <v>7</v>
      </c>
      <c r="G11" s="5" t="n">
        <f aca="false">COUNTIF($D$2:$D11,G$1)</f>
        <v>1</v>
      </c>
      <c r="H11" s="5" t="n">
        <f aca="false">COUNTIF($D$2:$D11,H$1)</f>
        <v>0</v>
      </c>
    </row>
    <row r="12" customFormat="false" ht="12.8" hidden="false" customHeight="false" outlineLevel="0" collapsed="false">
      <c r="A12" s="1" t="n">
        <v>10</v>
      </c>
      <c r="B12" s="1" t="n">
        <v>14</v>
      </c>
      <c r="D12" s="5" t="s">
        <v>5</v>
      </c>
      <c r="E12" s="5" t="n">
        <f aca="false">COUNTIF($D$2:$D12,E$1)</f>
        <v>2</v>
      </c>
      <c r="F12" s="5" t="n">
        <f aca="false">COUNTIF($D$2:$D12,F$1)</f>
        <v>8</v>
      </c>
      <c r="G12" s="5" t="n">
        <f aca="false">COUNTIF($D$2:$D12,G$1)</f>
        <v>1</v>
      </c>
      <c r="H12" s="5" t="n">
        <f aca="false">COUNTIF($D$2:$D12,H$1)</f>
        <v>0</v>
      </c>
    </row>
    <row r="13" customFormat="false" ht="12.8" hidden="false" customHeight="false" outlineLevel="0" collapsed="false">
      <c r="A13" s="1" t="n">
        <v>11</v>
      </c>
      <c r="B13" s="1" t="n">
        <v>18</v>
      </c>
      <c r="D13" s="5" t="s">
        <v>5</v>
      </c>
      <c r="E13" s="5" t="n">
        <f aca="false">COUNTIF($D$2:$D13,E$1)</f>
        <v>2</v>
      </c>
      <c r="F13" s="5" t="n">
        <f aca="false">COUNTIF($D$2:$D13,F$1)</f>
        <v>9</v>
      </c>
      <c r="G13" s="5" t="n">
        <f aca="false">COUNTIF($D$2:$D13,G$1)</f>
        <v>1</v>
      </c>
      <c r="H13" s="5" t="n">
        <f aca="false">COUNTIF($D$2:$D13,H$1)</f>
        <v>0</v>
      </c>
    </row>
    <row r="14" customFormat="false" ht="12.8" hidden="false" customHeight="false" outlineLevel="0" collapsed="false">
      <c r="A14" s="1" t="n">
        <v>12</v>
      </c>
      <c r="B14" s="1" t="n">
        <v>19</v>
      </c>
      <c r="C14" s="2" t="s">
        <v>11</v>
      </c>
      <c r="D14" s="5" t="s">
        <v>6</v>
      </c>
      <c r="E14" s="5" t="n">
        <f aca="false">COUNTIF($D$2:$D14,E$1)</f>
        <v>2</v>
      </c>
      <c r="F14" s="5" t="n">
        <f aca="false">COUNTIF($D$2:$D14,F$1)</f>
        <v>9</v>
      </c>
      <c r="G14" s="5" t="n">
        <f aca="false">COUNTIF($D$2:$D14,G$1)</f>
        <v>2</v>
      </c>
      <c r="H14" s="5" t="n">
        <f aca="false">COUNTIF($D$2:$D14,H$1)</f>
        <v>0</v>
      </c>
    </row>
    <row r="15" customFormat="false" ht="12.8" hidden="false" customHeight="false" outlineLevel="0" collapsed="false">
      <c r="A15" s="1" t="n">
        <v>13</v>
      </c>
      <c r="B15" s="1" t="n">
        <v>20</v>
      </c>
      <c r="D15" s="5" t="s">
        <v>5</v>
      </c>
      <c r="E15" s="5" t="n">
        <f aca="false">COUNTIF($D$2:$D15,E$1)</f>
        <v>2</v>
      </c>
      <c r="F15" s="5" t="n">
        <f aca="false">COUNTIF($D$2:$D15,F$1)</f>
        <v>10</v>
      </c>
      <c r="G15" s="5" t="n">
        <f aca="false">COUNTIF($D$2:$D15,G$1)</f>
        <v>2</v>
      </c>
      <c r="H15" s="5" t="n">
        <f aca="false">COUNTIF($D$2:$D15,H$1)</f>
        <v>0</v>
      </c>
    </row>
    <row r="16" customFormat="false" ht="12.8" hidden="false" customHeight="false" outlineLevel="0" collapsed="false">
      <c r="A16" s="1" t="n">
        <v>14</v>
      </c>
      <c r="B16" s="1" t="n">
        <v>21</v>
      </c>
      <c r="D16" s="5" t="s">
        <v>5</v>
      </c>
      <c r="E16" s="5" t="n">
        <f aca="false">COUNTIF($D$2:$D16,E$1)</f>
        <v>2</v>
      </c>
      <c r="F16" s="5" t="n">
        <f aca="false">COUNTIF($D$2:$D16,F$1)</f>
        <v>11</v>
      </c>
      <c r="G16" s="5" t="n">
        <f aca="false">COUNTIF($D$2:$D16,G$1)</f>
        <v>2</v>
      </c>
      <c r="H16" s="5" t="n">
        <f aca="false">COUNTIF($D$2:$D16,H$1)</f>
        <v>0</v>
      </c>
    </row>
    <row r="17" customFormat="false" ht="12.8" hidden="false" customHeight="false" outlineLevel="0" collapsed="false">
      <c r="A17" s="1" t="n">
        <v>15</v>
      </c>
      <c r="B17" s="1" t="n">
        <v>23</v>
      </c>
      <c r="D17" s="5" t="s">
        <v>5</v>
      </c>
      <c r="E17" s="5" t="n">
        <f aca="false">COUNTIF($D$2:$D17,E$1)</f>
        <v>2</v>
      </c>
      <c r="F17" s="5" t="n">
        <f aca="false">COUNTIF($D$2:$D17,F$1)</f>
        <v>12</v>
      </c>
      <c r="G17" s="5" t="n">
        <f aca="false">COUNTIF($D$2:$D17,G$1)</f>
        <v>2</v>
      </c>
      <c r="H17" s="5" t="n">
        <f aca="false">COUNTIF($D$2:$D17,H$1)</f>
        <v>0</v>
      </c>
    </row>
    <row r="18" customFormat="false" ht="12.8" hidden="false" customHeight="false" outlineLevel="0" collapsed="false">
      <c r="A18" s="1" t="n">
        <v>16</v>
      </c>
      <c r="B18" s="1" t="n">
        <v>24</v>
      </c>
      <c r="D18" s="5" t="s">
        <v>5</v>
      </c>
      <c r="E18" s="5" t="n">
        <f aca="false">COUNTIF($D$2:$D18,E$1)</f>
        <v>2</v>
      </c>
      <c r="F18" s="5" t="n">
        <f aca="false">COUNTIF($D$2:$D18,F$1)</f>
        <v>13</v>
      </c>
      <c r="G18" s="5" t="n">
        <f aca="false">COUNTIF($D$2:$D18,G$1)</f>
        <v>2</v>
      </c>
      <c r="H18" s="5" t="n">
        <f aca="false">COUNTIF($D$2:$D18,H$1)</f>
        <v>0</v>
      </c>
    </row>
    <row r="19" customFormat="false" ht="12.8" hidden="false" customHeight="false" outlineLevel="0" collapsed="false">
      <c r="A19" s="1" t="n">
        <v>17</v>
      </c>
      <c r="B19" s="1" t="n">
        <v>26</v>
      </c>
      <c r="D19" s="5" t="s">
        <v>5</v>
      </c>
      <c r="E19" s="5" t="n">
        <f aca="false">COUNTIF($D$2:$D19,E$1)</f>
        <v>2</v>
      </c>
      <c r="F19" s="5" t="n">
        <f aca="false">COUNTIF($D$2:$D19,F$1)</f>
        <v>14</v>
      </c>
      <c r="G19" s="5" t="n">
        <f aca="false">COUNTIF($D$2:$D19,G$1)</f>
        <v>2</v>
      </c>
      <c r="H19" s="5" t="n">
        <f aca="false">COUNTIF($D$2:$D19,H$1)</f>
        <v>0</v>
      </c>
    </row>
    <row r="20" customFormat="false" ht="12.8" hidden="false" customHeight="false" outlineLevel="0" collapsed="false">
      <c r="A20" s="1" t="n">
        <v>18</v>
      </c>
      <c r="B20" s="1" t="n">
        <v>27</v>
      </c>
      <c r="C20" s="2" t="s">
        <v>12</v>
      </c>
      <c r="D20" s="5" t="s">
        <v>4</v>
      </c>
      <c r="E20" s="5" t="n">
        <f aca="false">COUNTIF($D$2:$D20,E$1)</f>
        <v>3</v>
      </c>
      <c r="F20" s="5" t="n">
        <f aca="false">COUNTIF($D$2:$D20,F$1)</f>
        <v>14</v>
      </c>
      <c r="G20" s="5" t="n">
        <f aca="false">COUNTIF($D$2:$D20,G$1)</f>
        <v>2</v>
      </c>
      <c r="H20" s="5" t="n">
        <f aca="false">COUNTIF($D$2:$D20,H$1)</f>
        <v>0</v>
      </c>
    </row>
    <row r="21" customFormat="false" ht="12.8" hidden="false" customHeight="false" outlineLevel="0" collapsed="false">
      <c r="A21" s="1" t="n">
        <v>19</v>
      </c>
      <c r="B21" s="1" t="n">
        <v>27</v>
      </c>
      <c r="D21" s="5" t="s">
        <v>5</v>
      </c>
      <c r="E21" s="5" t="n">
        <f aca="false">COUNTIF($D$2:$D21,E$1)</f>
        <v>3</v>
      </c>
      <c r="F21" s="5" t="n">
        <f aca="false">COUNTIF($D$2:$D21,F$1)</f>
        <v>15</v>
      </c>
      <c r="G21" s="5" t="n">
        <f aca="false">COUNTIF($D$2:$D21,G$1)</f>
        <v>2</v>
      </c>
      <c r="H21" s="5" t="n">
        <f aca="false">COUNTIF($D$2:$D21,H$1)</f>
        <v>0</v>
      </c>
    </row>
    <row r="22" customFormat="false" ht="12.8" hidden="false" customHeight="false" outlineLevel="0" collapsed="false">
      <c r="A22" s="1" t="n">
        <v>20</v>
      </c>
      <c r="B22" s="1" t="n">
        <v>29</v>
      </c>
      <c r="C22" s="2" t="s">
        <v>13</v>
      </c>
      <c r="D22" s="5" t="s">
        <v>7</v>
      </c>
      <c r="E22" s="5" t="n">
        <f aca="false">COUNTIF($D$2:$D22,E$1)</f>
        <v>3</v>
      </c>
      <c r="F22" s="5" t="n">
        <f aca="false">COUNTIF($D$2:$D22,F$1)</f>
        <v>15</v>
      </c>
      <c r="G22" s="5" t="n">
        <f aca="false">COUNTIF($D$2:$D22,G$1)</f>
        <v>2</v>
      </c>
      <c r="H22" s="5" t="n">
        <f aca="false">COUNTIF($D$2:$D22,H$1)</f>
        <v>1</v>
      </c>
    </row>
    <row r="23" customFormat="false" ht="12.8" hidden="false" customHeight="false" outlineLevel="0" collapsed="false">
      <c r="A23" s="1" t="n">
        <v>21</v>
      </c>
      <c r="B23" s="1" t="n">
        <v>30</v>
      </c>
      <c r="D23" s="5" t="s">
        <v>5</v>
      </c>
      <c r="E23" s="5" t="n">
        <f aca="false">COUNTIF($D$2:$D23,E$1)</f>
        <v>3</v>
      </c>
      <c r="F23" s="5" t="n">
        <f aca="false">COUNTIF($D$2:$D23,F$1)</f>
        <v>16</v>
      </c>
      <c r="G23" s="5" t="n">
        <f aca="false">COUNTIF($D$2:$D23,G$1)</f>
        <v>2</v>
      </c>
      <c r="H23" s="5" t="n">
        <f aca="false">COUNTIF($D$2:$D23,H$1)</f>
        <v>1</v>
      </c>
    </row>
    <row r="24" customFormat="false" ht="12.8" hidden="false" customHeight="false" outlineLevel="0" collapsed="false">
      <c r="A24" s="1" t="n">
        <v>22</v>
      </c>
      <c r="B24" s="1" t="n">
        <v>31</v>
      </c>
      <c r="C24" s="2" t="s">
        <v>14</v>
      </c>
      <c r="D24" s="5" t="s">
        <v>4</v>
      </c>
      <c r="E24" s="5" t="n">
        <f aca="false">COUNTIF($D$2:$D24,E$1)</f>
        <v>4</v>
      </c>
      <c r="F24" s="5" t="n">
        <f aca="false">COUNTIF($D$2:$D24,F$1)</f>
        <v>16</v>
      </c>
      <c r="G24" s="5" t="n">
        <f aca="false">COUNTIF($D$2:$D24,G$1)</f>
        <v>2</v>
      </c>
      <c r="H24" s="5" t="n">
        <f aca="false">COUNTIF($D$2:$D24,H$1)</f>
        <v>1</v>
      </c>
    </row>
    <row r="25" customFormat="false" ht="12.8" hidden="false" customHeight="false" outlineLevel="0" collapsed="false">
      <c r="A25" s="1" t="n">
        <v>23</v>
      </c>
      <c r="B25" s="1" t="n">
        <v>31</v>
      </c>
      <c r="D25" s="5" t="s">
        <v>5</v>
      </c>
      <c r="E25" s="5" t="n">
        <f aca="false">COUNTIF($D$2:$D25,E$1)</f>
        <v>4</v>
      </c>
      <c r="F25" s="5" t="n">
        <f aca="false">COUNTIF($D$2:$D25,F$1)</f>
        <v>17</v>
      </c>
      <c r="G25" s="5" t="n">
        <f aca="false">COUNTIF($D$2:$D25,G$1)</f>
        <v>2</v>
      </c>
      <c r="H25" s="5" t="n">
        <f aca="false">COUNTIF($D$2:$D25,H$1)</f>
        <v>1</v>
      </c>
    </row>
    <row r="26" customFormat="false" ht="12.8" hidden="false" customHeight="false" outlineLevel="0" collapsed="false">
      <c r="A26" s="1" t="n">
        <v>24</v>
      </c>
      <c r="B26" s="1" t="n">
        <v>32</v>
      </c>
      <c r="D26" s="5" t="s">
        <v>5</v>
      </c>
      <c r="E26" s="5" t="n">
        <f aca="false">COUNTIF($D$2:$D26,E$1)</f>
        <v>4</v>
      </c>
      <c r="F26" s="5" t="n">
        <f aca="false">COUNTIF($D$2:$D26,F$1)</f>
        <v>18</v>
      </c>
      <c r="G26" s="5" t="n">
        <f aca="false">COUNTIF($D$2:$D26,G$1)</f>
        <v>2</v>
      </c>
      <c r="H26" s="5" t="n">
        <f aca="false">COUNTIF($D$2:$D26,H$1)</f>
        <v>1</v>
      </c>
    </row>
    <row r="27" customFormat="false" ht="12.8" hidden="false" customHeight="false" outlineLevel="0" collapsed="false">
      <c r="A27" s="1" t="n">
        <v>25</v>
      </c>
      <c r="B27" s="1" t="n">
        <v>33</v>
      </c>
      <c r="D27" s="5" t="s">
        <v>5</v>
      </c>
      <c r="E27" s="5" t="n">
        <f aca="false">COUNTIF($D$2:$D27,E$1)</f>
        <v>4</v>
      </c>
      <c r="F27" s="5" t="n">
        <f aca="false">COUNTIF($D$2:$D27,F$1)</f>
        <v>19</v>
      </c>
      <c r="G27" s="5" t="n">
        <f aca="false">COUNTIF($D$2:$D27,G$1)</f>
        <v>2</v>
      </c>
      <c r="H27" s="5" t="n">
        <f aca="false">COUNTIF($D$2:$D27,H$1)</f>
        <v>1</v>
      </c>
      <c r="J27" s="0" t="s">
        <v>5</v>
      </c>
      <c r="K27" s="0" t="n">
        <f aca="false">COUNTIF($D$1:$D$121,$J27)</f>
        <v>46</v>
      </c>
      <c r="L27" s="6" t="n">
        <f aca="false">$K27/$K$31</f>
        <v>0.582278481012658</v>
      </c>
    </row>
    <row r="28" customFormat="false" ht="12.8" hidden="false" customHeight="false" outlineLevel="0" collapsed="false">
      <c r="A28" s="1" t="n">
        <v>26</v>
      </c>
      <c r="B28" s="1" t="n">
        <v>34</v>
      </c>
      <c r="D28" s="5" t="s">
        <v>5</v>
      </c>
      <c r="E28" s="5" t="n">
        <f aca="false">COUNTIF($D$2:$D28,E$1)</f>
        <v>4</v>
      </c>
      <c r="F28" s="5" t="n">
        <f aca="false">COUNTIF($D$2:$D28,F$1)</f>
        <v>20</v>
      </c>
      <c r="G28" s="5" t="n">
        <f aca="false">COUNTIF($D$2:$D28,G$1)</f>
        <v>2</v>
      </c>
      <c r="H28" s="5" t="n">
        <f aca="false">COUNTIF($D$2:$D28,H$1)</f>
        <v>1</v>
      </c>
      <c r="J28" s="0" t="s">
        <v>4</v>
      </c>
      <c r="K28" s="0" t="n">
        <f aca="false">COUNTIF($D$1:$D$121,$J28)</f>
        <v>17</v>
      </c>
      <c r="L28" s="6" t="n">
        <f aca="false">$K28/$K$31</f>
        <v>0.215189873417721</v>
      </c>
    </row>
    <row r="29" customFormat="false" ht="12.8" hidden="false" customHeight="false" outlineLevel="0" collapsed="false">
      <c r="A29" s="1" t="n">
        <v>27</v>
      </c>
      <c r="B29" s="1" t="n">
        <f aca="false">ROUND((B30+B28)/2,0)</f>
        <v>36</v>
      </c>
      <c r="C29" s="2" t="s">
        <v>15</v>
      </c>
      <c r="D29" s="5" t="s">
        <v>6</v>
      </c>
      <c r="E29" s="5" t="n">
        <f aca="false">COUNTIF($D$2:$D29,E$1)</f>
        <v>4</v>
      </c>
      <c r="F29" s="5" t="n">
        <f aca="false">COUNTIF($D$2:$D29,F$1)</f>
        <v>20</v>
      </c>
      <c r="G29" s="5" t="n">
        <f aca="false">COUNTIF($D$2:$D29,G$1)</f>
        <v>3</v>
      </c>
      <c r="H29" s="5" t="n">
        <f aca="false">COUNTIF($D$2:$D29,H$1)</f>
        <v>1</v>
      </c>
      <c r="J29" s="0" t="s">
        <v>6</v>
      </c>
      <c r="K29" s="0" t="n">
        <f aca="false">COUNTIF($D$1:$D$121,$J29)</f>
        <v>11</v>
      </c>
      <c r="L29" s="6" t="n">
        <f aca="false">$K29/$K$31</f>
        <v>0.139240506329114</v>
      </c>
    </row>
    <row r="30" customFormat="false" ht="12.8" hidden="false" customHeight="false" outlineLevel="0" collapsed="false">
      <c r="A30" s="1" t="n">
        <v>28</v>
      </c>
      <c r="B30" s="1" t="n">
        <f aca="false">ROUND((B32+B28)/2,0)</f>
        <v>37</v>
      </c>
      <c r="C30" s="2" t="s">
        <v>16</v>
      </c>
      <c r="D30" s="5" t="s">
        <v>4</v>
      </c>
      <c r="E30" s="5" t="n">
        <f aca="false">COUNTIF($D$2:$D30,E$1)</f>
        <v>5</v>
      </c>
      <c r="F30" s="5" t="n">
        <f aca="false">COUNTIF($D$2:$D30,F$1)</f>
        <v>20</v>
      </c>
      <c r="G30" s="5" t="n">
        <f aca="false">COUNTIF($D$2:$D30,G$1)</f>
        <v>3</v>
      </c>
      <c r="H30" s="5" t="n">
        <f aca="false">COUNTIF($D$2:$D30,H$1)</f>
        <v>1</v>
      </c>
      <c r="J30" s="0" t="s">
        <v>7</v>
      </c>
      <c r="K30" s="0" t="n">
        <f aca="false">COUNTIF($D$1:$D$121,$J30)</f>
        <v>4</v>
      </c>
      <c r="L30" s="6" t="n">
        <f aca="false">$K30/$K$31</f>
        <v>0.0506329113924051</v>
      </c>
    </row>
    <row r="31" customFormat="false" ht="12.8" hidden="false" customHeight="false" outlineLevel="0" collapsed="false">
      <c r="A31" s="1" t="n">
        <v>29</v>
      </c>
      <c r="B31" s="1" t="n">
        <f aca="false">ROUND((B32+B30)/2,0)</f>
        <v>38</v>
      </c>
      <c r="C31" s="2" t="s">
        <v>17</v>
      </c>
      <c r="D31" s="5" t="s">
        <v>4</v>
      </c>
      <c r="E31" s="5" t="n">
        <f aca="false">COUNTIF($D$2:$D31,E$1)</f>
        <v>6</v>
      </c>
      <c r="F31" s="5" t="n">
        <f aca="false">COUNTIF($D$2:$D31,F$1)</f>
        <v>20</v>
      </c>
      <c r="G31" s="5" t="n">
        <f aca="false">COUNTIF($D$2:$D31,G$1)</f>
        <v>3</v>
      </c>
      <c r="H31" s="5" t="n">
        <f aca="false">COUNTIF($D$2:$D31,H$1)</f>
        <v>1</v>
      </c>
      <c r="J31" s="0" t="s">
        <v>18</v>
      </c>
      <c r="K31" s="0" t="n">
        <f aca="false">COUNTA($D$1:$D$121)</f>
        <v>79</v>
      </c>
      <c r="L31" s="6" t="n">
        <f aca="false">$K31/$K$31</f>
        <v>1</v>
      </c>
    </row>
    <row r="32" customFormat="false" ht="12.8" hidden="false" customHeight="false" outlineLevel="0" collapsed="false">
      <c r="A32" s="1" t="n">
        <v>30</v>
      </c>
      <c r="B32" s="1" t="n">
        <v>39</v>
      </c>
      <c r="D32" s="5" t="s">
        <v>5</v>
      </c>
      <c r="E32" s="5" t="n">
        <f aca="false">COUNTIF($D$2:$D32,E$1)</f>
        <v>6</v>
      </c>
      <c r="F32" s="5" t="n">
        <f aca="false">COUNTIF($D$2:$D32,F$1)</f>
        <v>21</v>
      </c>
      <c r="G32" s="5" t="n">
        <f aca="false">COUNTIF($D$2:$D32,G$1)</f>
        <v>3</v>
      </c>
      <c r="H32" s="5" t="n">
        <f aca="false">COUNTIF($D$2:$D32,H$1)</f>
        <v>1</v>
      </c>
    </row>
    <row r="33" customFormat="false" ht="12.8" hidden="false" customHeight="false" outlineLevel="0" collapsed="false">
      <c r="A33" s="1" t="n">
        <v>31</v>
      </c>
      <c r="B33" s="1" t="n">
        <v>42</v>
      </c>
      <c r="D33" s="5" t="s">
        <v>5</v>
      </c>
      <c r="E33" s="5" t="n">
        <f aca="false">COUNTIF($D$2:$D33,E$1)</f>
        <v>6</v>
      </c>
      <c r="F33" s="5" t="n">
        <f aca="false">COUNTIF($D$2:$D33,F$1)</f>
        <v>22</v>
      </c>
      <c r="G33" s="5" t="n">
        <f aca="false">COUNTIF($D$2:$D33,G$1)</f>
        <v>3</v>
      </c>
      <c r="H33" s="5" t="n">
        <f aca="false">COUNTIF($D$2:$D33,H$1)</f>
        <v>1</v>
      </c>
    </row>
    <row r="34" customFormat="false" ht="12.8" hidden="false" customHeight="false" outlineLevel="0" collapsed="false">
      <c r="A34" s="1" t="n">
        <v>32</v>
      </c>
      <c r="B34" s="1" t="n">
        <f aca="false">ROUND((B35+B33)/2,0)</f>
        <v>45</v>
      </c>
      <c r="C34" s="2" t="s">
        <v>19</v>
      </c>
      <c r="D34" s="5" t="s">
        <v>6</v>
      </c>
      <c r="E34" s="5" t="n">
        <f aca="false">COUNTIF($D$2:$D34,E$1)</f>
        <v>6</v>
      </c>
      <c r="F34" s="5" t="n">
        <f aca="false">COUNTIF($D$2:$D34,F$1)</f>
        <v>22</v>
      </c>
      <c r="G34" s="5" t="n">
        <f aca="false">COUNTIF($D$2:$D34,G$1)</f>
        <v>4</v>
      </c>
      <c r="H34" s="5" t="n">
        <f aca="false">COUNTIF($D$2:$D34,H$1)</f>
        <v>1</v>
      </c>
    </row>
    <row r="35" customFormat="false" ht="12.8" hidden="false" customHeight="false" outlineLevel="0" collapsed="false">
      <c r="A35" s="1" t="n">
        <v>33</v>
      </c>
      <c r="B35" s="1" t="n">
        <v>48</v>
      </c>
      <c r="D35" s="5" t="s">
        <v>5</v>
      </c>
      <c r="E35" s="5" t="n">
        <f aca="false">COUNTIF($D$2:$D35,E$1)</f>
        <v>6</v>
      </c>
      <c r="F35" s="5" t="n">
        <f aca="false">COUNTIF($D$2:$D35,F$1)</f>
        <v>23</v>
      </c>
      <c r="G35" s="5" t="n">
        <f aca="false">COUNTIF($D$2:$D35,G$1)</f>
        <v>4</v>
      </c>
      <c r="H35" s="5" t="n">
        <f aca="false">COUNTIF($D$2:$D35,H$1)</f>
        <v>1</v>
      </c>
    </row>
    <row r="36" customFormat="false" ht="12.8" hidden="false" customHeight="false" outlineLevel="0" collapsed="false">
      <c r="A36" s="1" t="n">
        <v>34</v>
      </c>
      <c r="B36" s="1" t="n">
        <v>58</v>
      </c>
      <c r="D36" s="5" t="s">
        <v>5</v>
      </c>
      <c r="E36" s="5" t="n">
        <f aca="false">COUNTIF($D$2:$D36,E$1)</f>
        <v>6</v>
      </c>
      <c r="F36" s="5" t="n">
        <f aca="false">COUNTIF($D$2:$D36,F$1)</f>
        <v>24</v>
      </c>
      <c r="G36" s="5" t="n">
        <f aca="false">COUNTIF($D$2:$D36,G$1)</f>
        <v>4</v>
      </c>
      <c r="H36" s="5" t="n">
        <f aca="false">COUNTIF($D$2:$D36,H$1)</f>
        <v>1</v>
      </c>
    </row>
    <row r="37" customFormat="false" ht="12.8" hidden="false" customHeight="false" outlineLevel="0" collapsed="false">
      <c r="A37" s="1" t="n">
        <v>35</v>
      </c>
      <c r="B37" s="1" t="n">
        <f aca="false">ROUND((B38+B36)/2,0)</f>
        <v>60</v>
      </c>
      <c r="C37" s="2" t="s">
        <v>20</v>
      </c>
      <c r="D37" s="5" t="s">
        <v>4</v>
      </c>
      <c r="E37" s="5" t="n">
        <f aca="false">COUNTIF($D$2:$D37,E$1)</f>
        <v>7</v>
      </c>
      <c r="F37" s="5" t="n">
        <f aca="false">COUNTIF($D$2:$D37,F$1)</f>
        <v>24</v>
      </c>
      <c r="G37" s="5" t="n">
        <f aca="false">COUNTIF($D$2:$D37,G$1)</f>
        <v>4</v>
      </c>
      <c r="H37" s="5" t="n">
        <f aca="false">COUNTIF($D$2:$D37,H$1)</f>
        <v>1</v>
      </c>
    </row>
    <row r="38" customFormat="false" ht="12.8" hidden="false" customHeight="false" outlineLevel="0" collapsed="false">
      <c r="A38" s="1" t="n">
        <v>36</v>
      </c>
      <c r="B38" s="1" t="n">
        <v>62</v>
      </c>
      <c r="D38" s="5" t="s">
        <v>5</v>
      </c>
      <c r="E38" s="5" t="n">
        <f aca="false">COUNTIF($D$2:$D38,E$1)</f>
        <v>7</v>
      </c>
      <c r="F38" s="5" t="n">
        <f aca="false">COUNTIF($D$2:$D38,F$1)</f>
        <v>25</v>
      </c>
      <c r="G38" s="5" t="n">
        <f aca="false">COUNTIF($D$2:$D38,G$1)</f>
        <v>4</v>
      </c>
      <c r="H38" s="5" t="n">
        <f aca="false">COUNTIF($D$2:$D38,H$1)</f>
        <v>1</v>
      </c>
    </row>
    <row r="39" customFormat="false" ht="12.8" hidden="false" customHeight="false" outlineLevel="0" collapsed="false">
      <c r="A39" s="1" t="n">
        <v>37</v>
      </c>
      <c r="B39" s="1" t="n">
        <v>62</v>
      </c>
      <c r="C39" s="2" t="s">
        <v>21</v>
      </c>
      <c r="D39" s="5" t="s">
        <v>7</v>
      </c>
      <c r="E39" s="5" t="n">
        <f aca="false">COUNTIF($D$2:$D39,E$1)</f>
        <v>7</v>
      </c>
      <c r="F39" s="5" t="n">
        <f aca="false">COUNTIF($D$2:$D39,F$1)</f>
        <v>25</v>
      </c>
      <c r="G39" s="5" t="n">
        <f aca="false">COUNTIF($D$2:$D39,G$1)</f>
        <v>4</v>
      </c>
      <c r="H39" s="5" t="n">
        <f aca="false">COUNTIF($D$2:$D39,H$1)</f>
        <v>2</v>
      </c>
    </row>
    <row r="40" customFormat="false" ht="12.8" hidden="false" customHeight="false" outlineLevel="0" collapsed="false">
      <c r="A40" s="1" t="n">
        <v>38</v>
      </c>
      <c r="B40" s="1" t="n">
        <v>63</v>
      </c>
      <c r="D40" s="5" t="s">
        <v>5</v>
      </c>
      <c r="E40" s="5" t="n">
        <f aca="false">COUNTIF($D$2:$D40,E$1)</f>
        <v>7</v>
      </c>
      <c r="F40" s="5" t="n">
        <f aca="false">COUNTIF($D$2:$D40,F$1)</f>
        <v>26</v>
      </c>
      <c r="G40" s="5" t="n">
        <f aca="false">COUNTIF($D$2:$D40,G$1)</f>
        <v>4</v>
      </c>
      <c r="H40" s="5" t="n">
        <f aca="false">COUNTIF($D$2:$D40,H$1)</f>
        <v>2</v>
      </c>
    </row>
    <row r="41" customFormat="false" ht="12.8" hidden="false" customHeight="false" outlineLevel="0" collapsed="false">
      <c r="A41" s="1" t="n">
        <v>39</v>
      </c>
      <c r="B41" s="1" t="n">
        <v>67</v>
      </c>
      <c r="D41" s="5" t="s">
        <v>5</v>
      </c>
      <c r="E41" s="5" t="n">
        <f aca="false">COUNTIF($D$2:$D41,E$1)</f>
        <v>7</v>
      </c>
      <c r="F41" s="5" t="n">
        <f aca="false">COUNTIF($D$2:$D41,F$1)</f>
        <v>27</v>
      </c>
      <c r="G41" s="5" t="n">
        <f aca="false">COUNTIF($D$2:$D41,G$1)</f>
        <v>4</v>
      </c>
      <c r="H41" s="5" t="n">
        <f aca="false">COUNTIF($D$2:$D41,H$1)</f>
        <v>2</v>
      </c>
    </row>
    <row r="42" customFormat="false" ht="12.8" hidden="false" customHeight="false" outlineLevel="0" collapsed="false">
      <c r="A42" s="1" t="n">
        <v>40</v>
      </c>
      <c r="B42" s="1" t="n">
        <v>70</v>
      </c>
      <c r="C42" s="2" t="s">
        <v>22</v>
      </c>
      <c r="D42" s="5" t="s">
        <v>4</v>
      </c>
      <c r="E42" s="5" t="n">
        <f aca="false">COUNTIF($D$2:$D42,E$1)</f>
        <v>8</v>
      </c>
      <c r="F42" s="5" t="n">
        <f aca="false">COUNTIF($D$2:$D42,F$1)</f>
        <v>27</v>
      </c>
      <c r="G42" s="5" t="n">
        <f aca="false">COUNTIF($D$2:$D42,G$1)</f>
        <v>4</v>
      </c>
      <c r="H42" s="5" t="n">
        <f aca="false">COUNTIF($D$2:$D42,H$1)</f>
        <v>2</v>
      </c>
    </row>
    <row r="43" customFormat="false" ht="12.8" hidden="false" customHeight="false" outlineLevel="0" collapsed="false">
      <c r="A43" s="1" t="n">
        <v>41</v>
      </c>
      <c r="B43" s="1" t="n">
        <v>73</v>
      </c>
      <c r="C43" s="2" t="s">
        <v>23</v>
      </c>
      <c r="D43" s="5" t="s">
        <v>6</v>
      </c>
      <c r="E43" s="5" t="n">
        <f aca="false">COUNTIF($D$2:$D43,E$1)</f>
        <v>8</v>
      </c>
      <c r="F43" s="5" t="n">
        <f aca="false">COUNTIF($D$2:$D43,F$1)</f>
        <v>27</v>
      </c>
      <c r="G43" s="5" t="n">
        <f aca="false">COUNTIF($D$2:$D43,G$1)</f>
        <v>5</v>
      </c>
      <c r="H43" s="5" t="n">
        <f aca="false">COUNTIF($D$2:$D43,H$1)</f>
        <v>2</v>
      </c>
    </row>
    <row r="44" customFormat="false" ht="12.8" hidden="false" customHeight="false" outlineLevel="0" collapsed="false">
      <c r="A44" s="1" t="n">
        <v>42</v>
      </c>
      <c r="B44" s="1" t="n">
        <v>77</v>
      </c>
      <c r="D44" s="5" t="s">
        <v>5</v>
      </c>
      <c r="E44" s="5" t="n">
        <f aca="false">COUNTIF($D$2:$D44,E$1)</f>
        <v>8</v>
      </c>
      <c r="F44" s="5" t="n">
        <f aca="false">COUNTIF($D$2:$D44,F$1)</f>
        <v>28</v>
      </c>
      <c r="G44" s="5" t="n">
        <f aca="false">COUNTIF($D$2:$D44,G$1)</f>
        <v>5</v>
      </c>
      <c r="H44" s="5" t="n">
        <f aca="false">COUNTIF($D$2:$D44,H$1)</f>
        <v>2</v>
      </c>
    </row>
    <row r="45" customFormat="false" ht="12.8" hidden="false" customHeight="false" outlineLevel="0" collapsed="false">
      <c r="A45" s="1" t="n">
        <v>43</v>
      </c>
      <c r="B45" s="1" t="n">
        <v>78</v>
      </c>
      <c r="D45" s="5" t="s">
        <v>5</v>
      </c>
      <c r="E45" s="5" t="n">
        <f aca="false">COUNTIF($D$2:$D45,E$1)</f>
        <v>8</v>
      </c>
      <c r="F45" s="5" t="n">
        <f aca="false">COUNTIF($D$2:$D45,F$1)</f>
        <v>29</v>
      </c>
      <c r="G45" s="5" t="n">
        <f aca="false">COUNTIF($D$2:$D45,G$1)</f>
        <v>5</v>
      </c>
      <c r="H45" s="5" t="n">
        <f aca="false">COUNTIF($D$2:$D45,H$1)</f>
        <v>2</v>
      </c>
    </row>
    <row r="46" customFormat="false" ht="12.8" hidden="false" customHeight="false" outlineLevel="0" collapsed="false">
      <c r="A46" s="1" t="n">
        <v>44</v>
      </c>
      <c r="B46" s="1" t="n">
        <v>79</v>
      </c>
      <c r="D46" s="5" t="s">
        <v>5</v>
      </c>
      <c r="E46" s="5" t="n">
        <f aca="false">COUNTIF($D$2:$D46,E$1)</f>
        <v>8</v>
      </c>
      <c r="F46" s="5" t="n">
        <f aca="false">COUNTIF($D$2:$D46,F$1)</f>
        <v>30</v>
      </c>
      <c r="G46" s="5" t="n">
        <f aca="false">COUNTIF($D$2:$D46,G$1)</f>
        <v>5</v>
      </c>
      <c r="H46" s="5" t="n">
        <f aca="false">COUNTIF($D$2:$D46,H$1)</f>
        <v>2</v>
      </c>
    </row>
    <row r="47" customFormat="false" ht="12.8" hidden="false" customHeight="false" outlineLevel="0" collapsed="false">
      <c r="A47" s="1" t="n">
        <v>45</v>
      </c>
      <c r="B47" s="1" t="n">
        <v>79</v>
      </c>
      <c r="C47" s="2" t="s">
        <v>24</v>
      </c>
      <c r="D47" s="5" t="s">
        <v>4</v>
      </c>
      <c r="E47" s="5" t="n">
        <f aca="false">COUNTIF($D$2:$D47,E$1)</f>
        <v>9</v>
      </c>
      <c r="F47" s="5" t="n">
        <f aca="false">COUNTIF($D$2:$D47,F$1)</f>
        <v>30</v>
      </c>
      <c r="G47" s="5" t="n">
        <f aca="false">COUNTIF($D$2:$D47,G$1)</f>
        <v>5</v>
      </c>
      <c r="H47" s="5" t="n">
        <f aca="false">COUNTIF($D$2:$D47,H$1)</f>
        <v>2</v>
      </c>
    </row>
    <row r="48" customFormat="false" ht="12.8" hidden="false" customHeight="false" outlineLevel="0" collapsed="false">
      <c r="A48" s="1" t="n">
        <v>46</v>
      </c>
      <c r="B48" s="1" t="n">
        <v>80</v>
      </c>
      <c r="C48" s="2" t="s">
        <v>25</v>
      </c>
      <c r="D48" s="5" t="s">
        <v>4</v>
      </c>
      <c r="E48" s="5" t="n">
        <f aca="false">COUNTIF($D$2:$D48,E$1)</f>
        <v>10</v>
      </c>
      <c r="F48" s="5" t="n">
        <f aca="false">COUNTIF($D$2:$D48,F$1)</f>
        <v>30</v>
      </c>
      <c r="G48" s="5" t="n">
        <f aca="false">COUNTIF($D$2:$D48,G$1)</f>
        <v>5</v>
      </c>
      <c r="H48" s="5" t="n">
        <f aca="false">COUNTIF($D$2:$D48,H$1)</f>
        <v>2</v>
      </c>
    </row>
    <row r="49" customFormat="false" ht="12.8" hidden="false" customHeight="false" outlineLevel="0" collapsed="false">
      <c r="A49" s="1" t="n">
        <v>47</v>
      </c>
      <c r="B49" s="1" t="n">
        <v>80</v>
      </c>
      <c r="C49" s="2" t="s">
        <v>26</v>
      </c>
      <c r="D49" s="5" t="s">
        <v>5</v>
      </c>
      <c r="E49" s="5" t="n">
        <f aca="false">COUNTIF($D$2:$D49,E$1)</f>
        <v>10</v>
      </c>
      <c r="F49" s="5" t="n">
        <f aca="false">COUNTIF($D$2:$D49,F$1)</f>
        <v>31</v>
      </c>
      <c r="G49" s="5" t="n">
        <f aca="false">COUNTIF($D$2:$D49,G$1)</f>
        <v>5</v>
      </c>
      <c r="H49" s="5" t="n">
        <f aca="false">COUNTIF($D$2:$D49,H$1)</f>
        <v>2</v>
      </c>
    </row>
    <row r="50" customFormat="false" ht="12.8" hidden="false" customHeight="false" outlineLevel="0" collapsed="false">
      <c r="A50" s="1" t="n">
        <v>48</v>
      </c>
      <c r="B50" s="1" t="n">
        <v>81</v>
      </c>
      <c r="D50" s="5" t="s">
        <v>5</v>
      </c>
      <c r="E50" s="5" t="n">
        <f aca="false">COUNTIF($D$2:$D50,E$1)</f>
        <v>10</v>
      </c>
      <c r="F50" s="5" t="n">
        <f aca="false">COUNTIF($D$2:$D50,F$1)</f>
        <v>32</v>
      </c>
      <c r="G50" s="5" t="n">
        <f aca="false">COUNTIF($D$2:$D50,G$1)</f>
        <v>5</v>
      </c>
      <c r="H50" s="5" t="n">
        <f aca="false">COUNTIF($D$2:$D50,H$1)</f>
        <v>2</v>
      </c>
    </row>
    <row r="51" customFormat="false" ht="12.8" hidden="false" customHeight="false" outlineLevel="0" collapsed="false">
      <c r="A51" s="1" t="n">
        <v>49</v>
      </c>
      <c r="B51" s="1" t="n">
        <v>81</v>
      </c>
      <c r="C51" s="2" t="s">
        <v>27</v>
      </c>
      <c r="D51" s="5" t="s">
        <v>7</v>
      </c>
      <c r="E51" s="5" t="n">
        <f aca="false">COUNTIF($D$2:$D51,E$1)</f>
        <v>10</v>
      </c>
      <c r="F51" s="5" t="n">
        <f aca="false">COUNTIF($D$2:$D51,F$1)</f>
        <v>32</v>
      </c>
      <c r="G51" s="5" t="n">
        <f aca="false">COUNTIF($D$2:$D51,G$1)</f>
        <v>5</v>
      </c>
      <c r="H51" s="5" t="n">
        <f aca="false">COUNTIF($D$2:$D51,H$1)</f>
        <v>3</v>
      </c>
    </row>
    <row r="52" customFormat="false" ht="12.8" hidden="false" customHeight="false" outlineLevel="0" collapsed="false">
      <c r="A52" s="1" t="n">
        <v>50</v>
      </c>
      <c r="B52" s="1" t="n">
        <v>81</v>
      </c>
      <c r="C52" s="2" t="s">
        <v>28</v>
      </c>
      <c r="D52" s="5" t="s">
        <v>4</v>
      </c>
      <c r="E52" s="5" t="n">
        <f aca="false">COUNTIF($D$2:$D52,E$1)</f>
        <v>11</v>
      </c>
      <c r="F52" s="5" t="n">
        <f aca="false">COUNTIF($D$2:$D52,F$1)</f>
        <v>32</v>
      </c>
      <c r="G52" s="5" t="n">
        <f aca="false">COUNTIF($D$2:$D52,G$1)</f>
        <v>5</v>
      </c>
      <c r="H52" s="5" t="n">
        <f aca="false">COUNTIF($D$2:$D52,H$1)</f>
        <v>3</v>
      </c>
    </row>
    <row r="53" customFormat="false" ht="12.8" hidden="false" customHeight="false" outlineLevel="0" collapsed="false">
      <c r="A53" s="1" t="n">
        <v>51</v>
      </c>
      <c r="B53" s="1" t="n">
        <v>82</v>
      </c>
      <c r="C53" s="2" t="s">
        <v>29</v>
      </c>
      <c r="D53" s="5" t="s">
        <v>4</v>
      </c>
      <c r="E53" s="5" t="n">
        <f aca="false">COUNTIF($D$2:$D53,E$1)</f>
        <v>12</v>
      </c>
      <c r="F53" s="5" t="n">
        <f aca="false">COUNTIF($D$2:$D53,F$1)</f>
        <v>32</v>
      </c>
      <c r="G53" s="5" t="n">
        <f aca="false">COUNTIF($D$2:$D53,G$1)</f>
        <v>5</v>
      </c>
      <c r="H53" s="5" t="n">
        <f aca="false">COUNTIF($D$2:$D53,H$1)</f>
        <v>3</v>
      </c>
    </row>
    <row r="54" customFormat="false" ht="12.8" hidden="false" customHeight="false" outlineLevel="0" collapsed="false">
      <c r="A54" s="1" t="n">
        <v>52</v>
      </c>
      <c r="B54" s="1" t="n">
        <v>82</v>
      </c>
      <c r="D54" s="5" t="s">
        <v>5</v>
      </c>
      <c r="E54" s="5" t="n">
        <f aca="false">COUNTIF($D$2:$D54,E$1)</f>
        <v>12</v>
      </c>
      <c r="F54" s="5" t="n">
        <f aca="false">COUNTIF($D$2:$D54,F$1)</f>
        <v>33</v>
      </c>
      <c r="G54" s="5" t="n">
        <f aca="false">COUNTIF($D$2:$D54,G$1)</f>
        <v>5</v>
      </c>
      <c r="H54" s="5" t="n">
        <f aca="false">COUNTIF($D$2:$D54,H$1)</f>
        <v>3</v>
      </c>
    </row>
    <row r="55" customFormat="false" ht="12.8" hidden="false" customHeight="false" outlineLevel="0" collapsed="false">
      <c r="A55" s="1" t="n">
        <v>53</v>
      </c>
      <c r="B55" s="1" t="n">
        <v>83</v>
      </c>
      <c r="D55" s="5" t="s">
        <v>5</v>
      </c>
      <c r="E55" s="5" t="n">
        <f aca="false">COUNTIF($D$2:$D55,E$1)</f>
        <v>12</v>
      </c>
      <c r="F55" s="5" t="n">
        <f aca="false">COUNTIF($D$2:$D55,F$1)</f>
        <v>34</v>
      </c>
      <c r="G55" s="5" t="n">
        <f aca="false">COUNTIF($D$2:$D55,G$1)</f>
        <v>5</v>
      </c>
      <c r="H55" s="5" t="n">
        <f aca="false">COUNTIF($D$2:$D55,H$1)</f>
        <v>3</v>
      </c>
    </row>
    <row r="56" customFormat="false" ht="12.8" hidden="false" customHeight="false" outlineLevel="0" collapsed="false">
      <c r="A56" s="1" t="n">
        <v>54</v>
      </c>
      <c r="B56" s="1" t="n">
        <v>85</v>
      </c>
      <c r="C56" s="2" t="s">
        <v>30</v>
      </c>
      <c r="D56" s="5" t="s">
        <v>6</v>
      </c>
      <c r="E56" s="5" t="n">
        <f aca="false">COUNTIF($D$2:$D56,E$1)</f>
        <v>12</v>
      </c>
      <c r="F56" s="5" t="n">
        <f aca="false">COUNTIF($D$2:$D56,F$1)</f>
        <v>34</v>
      </c>
      <c r="G56" s="5" t="n">
        <f aca="false">COUNTIF($D$2:$D56,G$1)</f>
        <v>6</v>
      </c>
      <c r="H56" s="5" t="n">
        <f aca="false">COUNTIF($D$2:$D56,H$1)</f>
        <v>3</v>
      </c>
    </row>
    <row r="57" customFormat="false" ht="12.8" hidden="false" customHeight="false" outlineLevel="0" collapsed="false">
      <c r="A57" s="1" t="n">
        <v>55</v>
      </c>
      <c r="B57" s="1" t="n">
        <v>85</v>
      </c>
      <c r="C57" s="2" t="s">
        <v>31</v>
      </c>
      <c r="D57" s="5" t="s">
        <v>6</v>
      </c>
      <c r="E57" s="5" t="n">
        <f aca="false">COUNTIF($D$2:$D57,E$1)</f>
        <v>12</v>
      </c>
      <c r="F57" s="5" t="n">
        <f aca="false">COUNTIF($D$2:$D57,F$1)</f>
        <v>34</v>
      </c>
      <c r="G57" s="5" t="n">
        <f aca="false">COUNTIF($D$2:$D57,G$1)</f>
        <v>7</v>
      </c>
      <c r="H57" s="5" t="n">
        <f aca="false">COUNTIF($D$2:$D57,H$1)</f>
        <v>3</v>
      </c>
    </row>
    <row r="58" customFormat="false" ht="12.8" hidden="false" customHeight="false" outlineLevel="0" collapsed="false">
      <c r="A58" s="1" t="n">
        <v>56</v>
      </c>
      <c r="B58" s="1" t="n">
        <v>87</v>
      </c>
      <c r="D58" s="5" t="s">
        <v>5</v>
      </c>
      <c r="E58" s="5" t="n">
        <f aca="false">COUNTIF($D$2:$D58,E$1)</f>
        <v>12</v>
      </c>
      <c r="F58" s="5" t="n">
        <f aca="false">COUNTIF($D$2:$D58,F$1)</f>
        <v>35</v>
      </c>
      <c r="G58" s="5" t="n">
        <f aca="false">COUNTIF($D$2:$D58,G$1)</f>
        <v>7</v>
      </c>
      <c r="H58" s="5" t="n">
        <f aca="false">COUNTIF($D$2:$D58,H$1)</f>
        <v>3</v>
      </c>
    </row>
    <row r="59" customFormat="false" ht="12.8" hidden="false" customHeight="false" outlineLevel="0" collapsed="false">
      <c r="A59" s="1" t="n">
        <v>57</v>
      </c>
      <c r="B59" s="1" t="n">
        <v>91</v>
      </c>
      <c r="D59" s="5" t="s">
        <v>5</v>
      </c>
      <c r="E59" s="5" t="n">
        <f aca="false">COUNTIF($D$2:$D59,E$1)</f>
        <v>12</v>
      </c>
      <c r="F59" s="5" t="n">
        <f aca="false">COUNTIF($D$2:$D59,F$1)</f>
        <v>36</v>
      </c>
      <c r="G59" s="5" t="n">
        <f aca="false">COUNTIF($D$2:$D59,G$1)</f>
        <v>7</v>
      </c>
      <c r="H59" s="5" t="n">
        <f aca="false">COUNTIF($D$2:$D59,H$1)</f>
        <v>3</v>
      </c>
    </row>
    <row r="60" customFormat="false" ht="12.8" hidden="false" customHeight="false" outlineLevel="0" collapsed="false">
      <c r="A60" s="1" t="n">
        <v>58</v>
      </c>
      <c r="B60" s="1" t="n">
        <f aca="false">ROUND((B61+B59)/2,0)</f>
        <v>93</v>
      </c>
      <c r="C60" s="2" t="s">
        <v>32</v>
      </c>
      <c r="D60" s="5" t="s">
        <v>4</v>
      </c>
      <c r="E60" s="5" t="n">
        <f aca="false">COUNTIF($D$2:$D60,E$1)</f>
        <v>13</v>
      </c>
      <c r="F60" s="5" t="n">
        <f aca="false">COUNTIF($D$2:$D60,F$1)</f>
        <v>36</v>
      </c>
      <c r="G60" s="5" t="n">
        <f aca="false">COUNTIF($D$2:$D60,G$1)</f>
        <v>7</v>
      </c>
      <c r="H60" s="5" t="n">
        <f aca="false">COUNTIF($D$2:$D60,H$1)</f>
        <v>3</v>
      </c>
    </row>
    <row r="61" customFormat="false" ht="12.8" hidden="false" customHeight="false" outlineLevel="0" collapsed="false">
      <c r="A61" s="1" t="n">
        <v>59</v>
      </c>
      <c r="B61" s="1" t="n">
        <v>94</v>
      </c>
      <c r="D61" s="5" t="s">
        <v>5</v>
      </c>
      <c r="E61" s="5" t="n">
        <f aca="false">COUNTIF($D$2:$D61,E$1)</f>
        <v>13</v>
      </c>
      <c r="F61" s="5" t="n">
        <f aca="false">COUNTIF($D$2:$D61,F$1)</f>
        <v>37</v>
      </c>
      <c r="G61" s="5" t="n">
        <f aca="false">COUNTIF($D$2:$D61,G$1)</f>
        <v>7</v>
      </c>
      <c r="H61" s="5" t="n">
        <f aca="false">COUNTIF($D$2:$D61,H$1)</f>
        <v>3</v>
      </c>
    </row>
    <row r="62" customFormat="false" ht="12.8" hidden="false" customHeight="false" outlineLevel="0" collapsed="false">
      <c r="A62" s="1" t="n">
        <v>60</v>
      </c>
      <c r="B62" s="1" t="n">
        <f aca="false">ROUND((B63+B61)/2,0)</f>
        <v>96</v>
      </c>
      <c r="C62" s="2" t="s">
        <v>33</v>
      </c>
      <c r="D62" s="5" t="s">
        <v>6</v>
      </c>
      <c r="E62" s="5" t="n">
        <f aca="false">COUNTIF($D$2:$D62,E$1)</f>
        <v>13</v>
      </c>
      <c r="F62" s="5" t="n">
        <f aca="false">COUNTIF($D$2:$D62,F$1)</f>
        <v>37</v>
      </c>
      <c r="G62" s="5" t="n">
        <f aca="false">COUNTIF($D$2:$D62,G$1)</f>
        <v>8</v>
      </c>
      <c r="H62" s="5" t="n">
        <f aca="false">COUNTIF($D$2:$D62,H$1)</f>
        <v>3</v>
      </c>
    </row>
    <row r="63" customFormat="false" ht="12.8" hidden="false" customHeight="false" outlineLevel="0" collapsed="false">
      <c r="A63" s="1" t="n">
        <v>61</v>
      </c>
      <c r="B63" s="1" t="n">
        <v>97</v>
      </c>
      <c r="D63" s="5" t="s">
        <v>5</v>
      </c>
      <c r="E63" s="5" t="n">
        <f aca="false">COUNTIF($D$2:$D63,E$1)</f>
        <v>13</v>
      </c>
      <c r="F63" s="5" t="n">
        <f aca="false">COUNTIF($D$2:$D63,F$1)</f>
        <v>38</v>
      </c>
      <c r="G63" s="5" t="n">
        <f aca="false">COUNTIF($D$2:$D63,G$1)</f>
        <v>8</v>
      </c>
      <c r="H63" s="5" t="n">
        <f aca="false">COUNTIF($D$2:$D63,H$1)</f>
        <v>3</v>
      </c>
    </row>
    <row r="64" customFormat="false" ht="12.8" hidden="false" customHeight="false" outlineLevel="0" collapsed="false">
      <c r="A64" s="1" t="n">
        <v>62</v>
      </c>
      <c r="B64" s="1" t="n">
        <v>101</v>
      </c>
      <c r="D64" s="5" t="s">
        <v>5</v>
      </c>
      <c r="E64" s="5" t="n">
        <f aca="false">COUNTIF($D$2:$D64,E$1)</f>
        <v>13</v>
      </c>
      <c r="F64" s="5" t="n">
        <f aca="false">COUNTIF($D$2:$D64,F$1)</f>
        <v>39</v>
      </c>
      <c r="G64" s="5" t="n">
        <f aca="false">COUNTIF($D$2:$D64,G$1)</f>
        <v>8</v>
      </c>
      <c r="H64" s="5" t="n">
        <f aca="false">COUNTIF($D$2:$D64,H$1)</f>
        <v>3</v>
      </c>
    </row>
    <row r="65" customFormat="false" ht="12.8" hidden="false" customHeight="false" outlineLevel="0" collapsed="false">
      <c r="A65" s="1" t="n">
        <v>63</v>
      </c>
      <c r="B65" s="1" t="n">
        <v>105</v>
      </c>
      <c r="D65" s="5" t="s">
        <v>5</v>
      </c>
      <c r="E65" s="5" t="n">
        <f aca="false">COUNTIF($D$2:$D65,E$1)</f>
        <v>13</v>
      </c>
      <c r="F65" s="5" t="n">
        <f aca="false">COUNTIF($D$2:$D65,F$1)</f>
        <v>40</v>
      </c>
      <c r="G65" s="5" t="n">
        <f aca="false">COUNTIF($D$2:$D65,G$1)</f>
        <v>8</v>
      </c>
      <c r="H65" s="5" t="n">
        <f aca="false">COUNTIF($D$2:$D65,H$1)</f>
        <v>3</v>
      </c>
    </row>
    <row r="66" customFormat="false" ht="12.8" hidden="false" customHeight="false" outlineLevel="0" collapsed="false">
      <c r="A66" s="1" t="n">
        <v>64</v>
      </c>
      <c r="B66" s="1" t="n">
        <v>110</v>
      </c>
      <c r="C66" s="2" t="s">
        <v>34</v>
      </c>
      <c r="D66" s="5" t="s">
        <v>4</v>
      </c>
      <c r="E66" s="5" t="n">
        <f aca="false">COUNTIF($D$2:$D66,E$1)</f>
        <v>14</v>
      </c>
      <c r="F66" s="5" t="n">
        <f aca="false">COUNTIF($D$2:$D66,F$1)</f>
        <v>40</v>
      </c>
      <c r="G66" s="5" t="n">
        <f aca="false">COUNTIF($D$2:$D66,G$1)</f>
        <v>8</v>
      </c>
      <c r="H66" s="5" t="n">
        <f aca="false">COUNTIF($D$2:$D66,H$1)</f>
        <v>3</v>
      </c>
    </row>
    <row r="67" customFormat="false" ht="12.8" hidden="false" customHeight="false" outlineLevel="0" collapsed="false">
      <c r="A67" s="1" t="n">
        <v>65</v>
      </c>
      <c r="B67" s="1" t="n">
        <v>110</v>
      </c>
      <c r="D67" s="5" t="s">
        <v>5</v>
      </c>
      <c r="E67" s="5" t="n">
        <f aca="false">COUNTIF($D$2:$D67,E$1)</f>
        <v>14</v>
      </c>
      <c r="F67" s="5" t="n">
        <f aca="false">COUNTIF($D$2:$D67,F$1)</f>
        <v>41</v>
      </c>
      <c r="G67" s="5" t="n">
        <f aca="false">COUNTIF($D$2:$D67,G$1)</f>
        <v>8</v>
      </c>
      <c r="H67" s="5" t="n">
        <f aca="false">COUNTIF($D$2:$D67,H$1)</f>
        <v>3</v>
      </c>
    </row>
    <row r="68" customFormat="false" ht="12.8" hidden="false" customHeight="false" outlineLevel="0" collapsed="false">
      <c r="A68" s="1" t="n">
        <v>66</v>
      </c>
      <c r="B68" s="1" t="n">
        <v>110</v>
      </c>
      <c r="C68" s="2" t="s">
        <v>35</v>
      </c>
      <c r="D68" s="5" t="s">
        <v>4</v>
      </c>
      <c r="E68" s="5" t="n">
        <f aca="false">COUNTIF($D$2:$D68,E$1)</f>
        <v>15</v>
      </c>
      <c r="F68" s="5" t="n">
        <f aca="false">COUNTIF($D$2:$D68,F$1)</f>
        <v>41</v>
      </c>
      <c r="G68" s="5" t="n">
        <f aca="false">COUNTIF($D$2:$D68,G$1)</f>
        <v>8</v>
      </c>
      <c r="H68" s="5" t="n">
        <f aca="false">COUNTIF($D$2:$D68,H$1)</f>
        <v>3</v>
      </c>
    </row>
    <row r="69" customFormat="false" ht="12.8" hidden="false" customHeight="false" outlineLevel="0" collapsed="false">
      <c r="A69" s="1" t="n">
        <v>67</v>
      </c>
      <c r="B69" s="1" t="n">
        <v>111</v>
      </c>
      <c r="D69" s="5" t="s">
        <v>5</v>
      </c>
      <c r="E69" s="5" t="n">
        <f aca="false">COUNTIF($D$2:$D69,E$1)</f>
        <v>15</v>
      </c>
      <c r="F69" s="5" t="n">
        <f aca="false">COUNTIF($D$2:$D69,F$1)</f>
        <v>42</v>
      </c>
      <c r="G69" s="5" t="n">
        <f aca="false">COUNTIF($D$2:$D69,G$1)</f>
        <v>8</v>
      </c>
      <c r="H69" s="5" t="n">
        <f aca="false">COUNTIF($D$2:$D69,H$1)</f>
        <v>3</v>
      </c>
    </row>
    <row r="70" customFormat="false" ht="12.8" hidden="false" customHeight="false" outlineLevel="0" collapsed="false">
      <c r="A70" s="1" t="n">
        <v>68</v>
      </c>
      <c r="B70" s="1" t="n">
        <v>112</v>
      </c>
      <c r="C70" s="2" t="s">
        <v>36</v>
      </c>
      <c r="D70" s="5" t="s">
        <v>6</v>
      </c>
      <c r="E70" s="5" t="n">
        <f aca="false">COUNTIF($D$2:$D70,E$1)</f>
        <v>15</v>
      </c>
      <c r="F70" s="5" t="n">
        <f aca="false">COUNTIF($D$2:$D70,F$1)</f>
        <v>42</v>
      </c>
      <c r="G70" s="5" t="n">
        <f aca="false">COUNTIF($D$2:$D70,G$1)</f>
        <v>9</v>
      </c>
      <c r="H70" s="5" t="n">
        <f aca="false">COUNTIF($D$2:$D70,H$1)</f>
        <v>3</v>
      </c>
    </row>
    <row r="71" customFormat="false" ht="12.8" hidden="false" customHeight="false" outlineLevel="0" collapsed="false">
      <c r="A71" s="1" t="n">
        <v>69</v>
      </c>
      <c r="B71" s="1" t="n">
        <v>113</v>
      </c>
      <c r="C71" s="2" t="s">
        <v>37</v>
      </c>
      <c r="D71" s="5" t="s">
        <v>4</v>
      </c>
      <c r="E71" s="5" t="n">
        <f aca="false">COUNTIF($D$2:$D71,E$1)</f>
        <v>16</v>
      </c>
      <c r="F71" s="5" t="n">
        <f aca="false">COUNTIF($D$2:$D71,F$1)</f>
        <v>42</v>
      </c>
      <c r="G71" s="5" t="n">
        <f aca="false">COUNTIF($D$2:$D71,G$1)</f>
        <v>9</v>
      </c>
      <c r="H71" s="5" t="n">
        <f aca="false">COUNTIF($D$2:$D71,H$1)</f>
        <v>3</v>
      </c>
    </row>
    <row r="72" customFormat="false" ht="12.8" hidden="false" customHeight="false" outlineLevel="0" collapsed="false">
      <c r="A72" s="1" t="n">
        <v>70</v>
      </c>
      <c r="B72" s="1" t="n">
        <v>114</v>
      </c>
      <c r="D72" s="5" t="s">
        <v>5</v>
      </c>
      <c r="E72" s="5" t="n">
        <f aca="false">COUNTIF($D$2:$D72,E$1)</f>
        <v>16</v>
      </c>
      <c r="F72" s="5" t="n">
        <f aca="false">COUNTIF($D$2:$D72,F$1)</f>
        <v>43</v>
      </c>
      <c r="G72" s="5" t="n">
        <f aca="false">COUNTIF($D$2:$D72,G$1)</f>
        <v>9</v>
      </c>
      <c r="H72" s="5" t="n">
        <f aca="false">COUNTIF($D$2:$D72,H$1)</f>
        <v>3</v>
      </c>
    </row>
    <row r="73" customFormat="false" ht="12.8" hidden="false" customHeight="false" outlineLevel="0" collapsed="false">
      <c r="A73" s="1" t="n">
        <v>71</v>
      </c>
      <c r="B73" s="1" t="n">
        <v>115</v>
      </c>
      <c r="C73" s="2" t="s">
        <v>38</v>
      </c>
      <c r="D73" s="5" t="s">
        <v>6</v>
      </c>
      <c r="E73" s="5" t="n">
        <f aca="false">COUNTIF($D$2:$D73,E$1)</f>
        <v>16</v>
      </c>
      <c r="F73" s="5" t="n">
        <f aca="false">COUNTIF($D$2:$D73,F$1)</f>
        <v>43</v>
      </c>
      <c r="G73" s="5" t="n">
        <f aca="false">COUNTIF($D$2:$D73,G$1)</f>
        <v>10</v>
      </c>
      <c r="H73" s="5" t="n">
        <f aca="false">COUNTIF($D$2:$D73,H$1)</f>
        <v>3</v>
      </c>
    </row>
    <row r="74" customFormat="false" ht="12.8" hidden="false" customHeight="false" outlineLevel="0" collapsed="false">
      <c r="A74" s="1" t="n">
        <v>72</v>
      </c>
      <c r="B74" s="1" t="n">
        <v>116</v>
      </c>
      <c r="C74" s="2" t="s">
        <v>39</v>
      </c>
      <c r="D74" s="5" t="s">
        <v>7</v>
      </c>
      <c r="E74" s="5" t="n">
        <f aca="false">COUNTIF($D$2:$D74,E$1)</f>
        <v>16</v>
      </c>
      <c r="F74" s="5" t="n">
        <f aca="false">COUNTIF($D$2:$D74,F$1)</f>
        <v>43</v>
      </c>
      <c r="G74" s="5" t="n">
        <f aca="false">COUNTIF($D$2:$D74,G$1)</f>
        <v>10</v>
      </c>
      <c r="H74" s="5" t="n">
        <f aca="false">COUNTIF($D$2:$D74,H$1)</f>
        <v>4</v>
      </c>
    </row>
    <row r="75" customFormat="false" ht="12.8" hidden="false" customHeight="false" outlineLevel="0" collapsed="false">
      <c r="A75" s="1" t="n">
        <v>73</v>
      </c>
      <c r="B75" s="1" t="n">
        <v>116</v>
      </c>
      <c r="C75" s="2" t="s">
        <v>40</v>
      </c>
      <c r="D75" s="5" t="s">
        <v>4</v>
      </c>
      <c r="E75" s="5" t="n">
        <f aca="false">COUNTIF($D$2:$D75,E$1)</f>
        <v>17</v>
      </c>
      <c r="F75" s="5" t="n">
        <f aca="false">COUNTIF($D$2:$D75,F$1)</f>
        <v>43</v>
      </c>
      <c r="G75" s="5" t="n">
        <f aca="false">COUNTIF($D$2:$D75,G$1)</f>
        <v>10</v>
      </c>
      <c r="H75" s="5" t="n">
        <f aca="false">COUNTIF($D$2:$D75,H$1)</f>
        <v>4</v>
      </c>
    </row>
    <row r="76" customFormat="false" ht="12.8" hidden="false" customHeight="false" outlineLevel="0" collapsed="false">
      <c r="A76" s="1" t="n">
        <v>74</v>
      </c>
      <c r="B76" s="1" t="n">
        <v>118</v>
      </c>
      <c r="D76" s="5" t="s">
        <v>5</v>
      </c>
      <c r="E76" s="5" t="n">
        <f aca="false">COUNTIF($D$2:$D76,E$1)</f>
        <v>17</v>
      </c>
      <c r="F76" s="5" t="n">
        <f aca="false">COUNTIF($D$2:$D76,F$1)</f>
        <v>44</v>
      </c>
      <c r="G76" s="5" t="n">
        <f aca="false">COUNTIF($D$2:$D76,G$1)</f>
        <v>10</v>
      </c>
      <c r="H76" s="5" t="n">
        <f aca="false">COUNTIF($D$2:$D76,H$1)</f>
        <v>4</v>
      </c>
    </row>
    <row r="77" customFormat="false" ht="12.8" hidden="false" customHeight="false" outlineLevel="0" collapsed="false">
      <c r="A77" s="1" t="n">
        <v>75</v>
      </c>
      <c r="B77" s="1" t="n">
        <v>120</v>
      </c>
      <c r="D77" s="5" t="s">
        <v>5</v>
      </c>
      <c r="E77" s="5" t="n">
        <f aca="false">COUNTIF($D$2:$D77,E$1)</f>
        <v>17</v>
      </c>
      <c r="F77" s="5" t="n">
        <f aca="false">COUNTIF($D$2:$D77,F$1)</f>
        <v>45</v>
      </c>
      <c r="G77" s="5" t="n">
        <f aca="false">COUNTIF($D$2:$D77,G$1)</f>
        <v>10</v>
      </c>
      <c r="H77" s="5" t="n">
        <f aca="false">COUNTIF($D$2:$D77,H$1)</f>
        <v>4</v>
      </c>
    </row>
    <row r="78" customFormat="false" ht="12.8" hidden="false" customHeight="false" outlineLevel="0" collapsed="false">
      <c r="A78" s="1" t="n">
        <v>76</v>
      </c>
      <c r="B78" s="1" t="n">
        <v>123</v>
      </c>
      <c r="D78" s="5" t="s">
        <v>5</v>
      </c>
      <c r="E78" s="5" t="n">
        <f aca="false">COUNTIF($D$2:$D78,E$1)</f>
        <v>17</v>
      </c>
      <c r="F78" s="5" t="n">
        <f aca="false">COUNTIF($D$2:$D78,F$1)</f>
        <v>46</v>
      </c>
      <c r="G78" s="5" t="n">
        <f aca="false">COUNTIF($D$2:$D78,G$1)</f>
        <v>10</v>
      </c>
      <c r="H78" s="5" t="n">
        <f aca="false">COUNTIF($D$2:$D78,H$1)</f>
        <v>4</v>
      </c>
    </row>
    <row r="79" customFormat="false" ht="12.8" hidden="false" customHeight="false" outlineLevel="0" collapsed="false">
      <c r="A79" s="1" t="n">
        <v>77</v>
      </c>
      <c r="B79" s="1" t="n">
        <v>127</v>
      </c>
      <c r="C79" s="2" t="s">
        <v>41</v>
      </c>
      <c r="D79" s="5" t="s">
        <v>6</v>
      </c>
      <c r="E79" s="5" t="n">
        <f aca="false">COUNTIF($D$2:$D79,E$1)</f>
        <v>17</v>
      </c>
      <c r="F79" s="5" t="n">
        <f aca="false">COUNTIF($D$2:$D79,F$1)</f>
        <v>46</v>
      </c>
      <c r="G79" s="5" t="n">
        <f aca="false">COUNTIF($D$2:$D79,G$1)</f>
        <v>11</v>
      </c>
      <c r="H79" s="5" t="n">
        <f aca="false">COUNTIF($D$2:$D79,H$1)</f>
        <v>4</v>
      </c>
    </row>
    <row r="80" customFormat="false" ht="12.8" hidden="false" customHeight="false" outlineLevel="0" collapsed="false">
      <c r="A80" s="1" t="n">
        <v>78</v>
      </c>
      <c r="D80" s="5"/>
      <c r="E80" s="5"/>
      <c r="F80" s="5"/>
      <c r="G80" s="5"/>
      <c r="H80" s="5"/>
    </row>
    <row r="81" customFormat="false" ht="12.8" hidden="false" customHeight="false" outlineLevel="0" collapsed="false">
      <c r="A81" s="1" t="n">
        <v>79</v>
      </c>
      <c r="D81" s="5"/>
      <c r="E81" s="5"/>
      <c r="F81" s="5"/>
      <c r="G81" s="5"/>
      <c r="H81" s="5"/>
    </row>
    <row r="82" customFormat="false" ht="12.8" hidden="false" customHeight="false" outlineLevel="0" collapsed="false">
      <c r="A82" s="1" t="n">
        <v>80</v>
      </c>
      <c r="D82" s="5"/>
      <c r="E82" s="5"/>
      <c r="F82" s="5"/>
      <c r="G82" s="5"/>
      <c r="H82" s="5"/>
    </row>
    <row r="83" customFormat="false" ht="12.8" hidden="false" customHeight="false" outlineLevel="0" collapsed="false">
      <c r="A83" s="1" t="n">
        <v>81</v>
      </c>
      <c r="D83" s="5"/>
      <c r="E83" s="5"/>
      <c r="F83" s="5"/>
      <c r="G83" s="5"/>
      <c r="H83" s="5"/>
    </row>
    <row r="84" customFormat="false" ht="12.8" hidden="false" customHeight="false" outlineLevel="0" collapsed="false">
      <c r="A84" s="1" t="n">
        <v>82</v>
      </c>
      <c r="D84" s="5"/>
      <c r="E84" s="5"/>
      <c r="F84" s="5"/>
      <c r="G84" s="5"/>
      <c r="H84" s="5"/>
    </row>
    <row r="85" customFormat="false" ht="12.8" hidden="false" customHeight="false" outlineLevel="0" collapsed="false">
      <c r="A85" s="1" t="n">
        <v>83</v>
      </c>
      <c r="D85" s="5"/>
      <c r="E85" s="5"/>
      <c r="F85" s="5"/>
      <c r="G85" s="5"/>
      <c r="H85" s="5"/>
    </row>
    <row r="86" customFormat="false" ht="12.8" hidden="false" customHeight="false" outlineLevel="0" collapsed="false">
      <c r="A86" s="1" t="n">
        <v>84</v>
      </c>
      <c r="D86" s="5"/>
      <c r="E86" s="5"/>
      <c r="F86" s="5"/>
      <c r="G86" s="5"/>
      <c r="H86" s="5"/>
    </row>
    <row r="87" customFormat="false" ht="12.8" hidden="false" customHeight="false" outlineLevel="0" collapsed="false">
      <c r="A87" s="1" t="n">
        <v>85</v>
      </c>
      <c r="D87" s="5"/>
      <c r="E87" s="5"/>
      <c r="F87" s="5"/>
      <c r="G87" s="5"/>
      <c r="H87" s="5"/>
    </row>
    <row r="88" customFormat="false" ht="12.8" hidden="false" customHeight="false" outlineLevel="0" collapsed="false">
      <c r="A88" s="1" t="n">
        <v>86</v>
      </c>
      <c r="D88" s="5"/>
      <c r="E88" s="5"/>
      <c r="F88" s="5"/>
      <c r="G88" s="5"/>
      <c r="H88" s="5"/>
    </row>
    <row r="89" customFormat="false" ht="12.8" hidden="false" customHeight="false" outlineLevel="0" collapsed="false">
      <c r="A89" s="1" t="n">
        <v>87</v>
      </c>
      <c r="D89" s="5"/>
      <c r="E89" s="5"/>
      <c r="F89" s="5"/>
      <c r="G89" s="5"/>
      <c r="H89" s="5"/>
    </row>
    <row r="90" customFormat="false" ht="12.8" hidden="false" customHeight="false" outlineLevel="0" collapsed="false">
      <c r="A90" s="1" t="n">
        <v>88</v>
      </c>
      <c r="D90" s="5"/>
      <c r="E90" s="5"/>
      <c r="F90" s="5"/>
      <c r="G90" s="5"/>
      <c r="H90" s="5"/>
    </row>
    <row r="91" customFormat="false" ht="12.8" hidden="false" customHeight="false" outlineLevel="0" collapsed="false">
      <c r="A91" s="1" t="n">
        <v>89</v>
      </c>
      <c r="D91" s="5"/>
      <c r="E91" s="5"/>
      <c r="F91" s="5"/>
      <c r="G91" s="5"/>
      <c r="H91" s="5"/>
    </row>
    <row r="92" customFormat="false" ht="12.8" hidden="false" customHeight="false" outlineLevel="0" collapsed="false">
      <c r="A92" s="1" t="n">
        <v>90</v>
      </c>
      <c r="D92" s="5"/>
      <c r="E92" s="5"/>
      <c r="F92" s="5"/>
      <c r="G92" s="5"/>
      <c r="H92" s="5"/>
    </row>
    <row r="93" customFormat="false" ht="12.8" hidden="false" customHeight="false" outlineLevel="0" collapsed="false">
      <c r="A93" s="1" t="n">
        <v>91</v>
      </c>
      <c r="D93" s="5"/>
      <c r="E93" s="5"/>
      <c r="F93" s="5"/>
      <c r="G93" s="5"/>
      <c r="H93" s="5"/>
    </row>
    <row r="94" customFormat="false" ht="12.8" hidden="false" customHeight="false" outlineLevel="0" collapsed="false">
      <c r="A94" s="1" t="n">
        <v>92</v>
      </c>
      <c r="D94" s="5"/>
      <c r="E94" s="5"/>
      <c r="F94" s="5"/>
      <c r="G94" s="5"/>
      <c r="H94" s="5"/>
    </row>
    <row r="95" customFormat="false" ht="12.8" hidden="false" customHeight="false" outlineLevel="0" collapsed="false">
      <c r="A95" s="1" t="n">
        <v>93</v>
      </c>
      <c r="D95" s="5"/>
      <c r="E95" s="5"/>
      <c r="F95" s="5"/>
      <c r="G95" s="5"/>
      <c r="H95" s="5"/>
    </row>
    <row r="96" customFormat="false" ht="12.8" hidden="false" customHeight="false" outlineLevel="0" collapsed="false">
      <c r="A96" s="1" t="n">
        <v>94</v>
      </c>
      <c r="D96" s="5"/>
      <c r="E96" s="5"/>
      <c r="F96" s="5"/>
      <c r="G96" s="5"/>
      <c r="H96" s="5"/>
    </row>
    <row r="97" customFormat="false" ht="12.8" hidden="false" customHeight="false" outlineLevel="0" collapsed="false">
      <c r="A97" s="1" t="n">
        <v>95</v>
      </c>
      <c r="D97" s="5"/>
      <c r="E97" s="5"/>
      <c r="F97" s="5"/>
      <c r="G97" s="5"/>
      <c r="H97" s="5"/>
    </row>
    <row r="98" customFormat="false" ht="12.8" hidden="false" customHeight="false" outlineLevel="0" collapsed="false">
      <c r="A98" s="1" t="n">
        <v>96</v>
      </c>
      <c r="D98" s="5"/>
      <c r="E98" s="5"/>
      <c r="F98" s="5"/>
      <c r="G98" s="5"/>
      <c r="H98" s="5"/>
    </row>
    <row r="99" customFormat="false" ht="12.8" hidden="false" customHeight="false" outlineLevel="0" collapsed="false">
      <c r="A99" s="1" t="n">
        <v>97</v>
      </c>
      <c r="D99" s="5"/>
      <c r="E99" s="5"/>
      <c r="F99" s="5"/>
      <c r="G99" s="5"/>
      <c r="H99" s="5"/>
    </row>
    <row r="100" customFormat="false" ht="12.8" hidden="false" customHeight="false" outlineLevel="0" collapsed="false">
      <c r="A100" s="1" t="n">
        <v>98</v>
      </c>
      <c r="D100" s="5"/>
      <c r="E100" s="5"/>
      <c r="F100" s="5"/>
      <c r="G100" s="5"/>
      <c r="H100" s="5"/>
    </row>
    <row r="101" customFormat="false" ht="12.8" hidden="false" customHeight="false" outlineLevel="0" collapsed="false">
      <c r="A101" s="1" t="n">
        <v>99</v>
      </c>
      <c r="D101" s="5"/>
      <c r="E101" s="5"/>
      <c r="F101" s="5"/>
      <c r="G101" s="5"/>
      <c r="H101" s="5"/>
    </row>
    <row r="102" customFormat="false" ht="12.8" hidden="false" customHeight="false" outlineLevel="0" collapsed="false">
      <c r="A102" s="1" t="n">
        <v>100</v>
      </c>
      <c r="D102" s="5"/>
      <c r="E102" s="5"/>
      <c r="F102" s="5"/>
      <c r="G102" s="5"/>
      <c r="H102" s="5"/>
    </row>
    <row r="103" customFormat="false" ht="12.8" hidden="false" customHeight="false" outlineLevel="0" collapsed="false">
      <c r="A103" s="1" t="n">
        <v>101</v>
      </c>
      <c r="D103" s="5"/>
      <c r="E103" s="5"/>
      <c r="F103" s="5"/>
      <c r="G103" s="5"/>
      <c r="H103" s="5"/>
    </row>
    <row r="104" customFormat="false" ht="12.8" hidden="false" customHeight="false" outlineLevel="0" collapsed="false">
      <c r="A104" s="1" t="n">
        <v>102</v>
      </c>
      <c r="D104" s="5"/>
      <c r="E104" s="5"/>
      <c r="F104" s="5"/>
      <c r="G104" s="5"/>
      <c r="H104" s="5"/>
    </row>
    <row r="105" customFormat="false" ht="12.8" hidden="false" customHeight="false" outlineLevel="0" collapsed="false">
      <c r="A105" s="1" t="n">
        <v>103</v>
      </c>
      <c r="D105" s="5"/>
      <c r="E105" s="5"/>
      <c r="F105" s="5"/>
      <c r="G105" s="5"/>
      <c r="H105" s="5"/>
    </row>
    <row r="106" customFormat="false" ht="12.8" hidden="false" customHeight="false" outlineLevel="0" collapsed="false">
      <c r="A106" s="1" t="n">
        <v>104</v>
      </c>
      <c r="D106" s="5"/>
      <c r="E106" s="5"/>
      <c r="F106" s="5"/>
      <c r="G106" s="5"/>
      <c r="H106" s="5"/>
    </row>
    <row r="107" customFormat="false" ht="12.8" hidden="false" customHeight="false" outlineLevel="0" collapsed="false">
      <c r="A107" s="1" t="n">
        <v>105</v>
      </c>
      <c r="D107" s="5"/>
      <c r="E107" s="5"/>
      <c r="F107" s="5"/>
      <c r="G107" s="5"/>
      <c r="H107" s="5"/>
    </row>
    <row r="108" customFormat="false" ht="12.8" hidden="false" customHeight="false" outlineLevel="0" collapsed="false">
      <c r="A108" s="1" t="n">
        <v>106</v>
      </c>
      <c r="D108" s="5"/>
      <c r="E108" s="5"/>
      <c r="F108" s="5"/>
      <c r="G108" s="5"/>
      <c r="H108" s="5"/>
    </row>
    <row r="109" customFormat="false" ht="12.8" hidden="false" customHeight="false" outlineLevel="0" collapsed="false">
      <c r="A109" s="1" t="n">
        <v>107</v>
      </c>
      <c r="D109" s="5"/>
      <c r="E109" s="5"/>
      <c r="F109" s="5"/>
      <c r="G109" s="5"/>
      <c r="H109" s="5"/>
    </row>
    <row r="110" customFormat="false" ht="12.8" hidden="false" customHeight="false" outlineLevel="0" collapsed="false">
      <c r="A110" s="1" t="n">
        <v>108</v>
      </c>
      <c r="D110" s="5"/>
      <c r="E110" s="5"/>
      <c r="F110" s="5"/>
      <c r="G110" s="5"/>
      <c r="H110" s="5"/>
    </row>
    <row r="111" customFormat="false" ht="12.8" hidden="false" customHeight="false" outlineLevel="0" collapsed="false">
      <c r="A111" s="1" t="n">
        <v>109</v>
      </c>
      <c r="D111" s="5"/>
      <c r="E111" s="5"/>
      <c r="F111" s="5"/>
      <c r="G111" s="5"/>
      <c r="H111" s="5"/>
    </row>
    <row r="112" customFormat="false" ht="12.8" hidden="false" customHeight="false" outlineLevel="0" collapsed="false">
      <c r="A112" s="1" t="n">
        <v>110</v>
      </c>
      <c r="D112" s="5"/>
      <c r="E112" s="5"/>
      <c r="F112" s="5"/>
      <c r="G112" s="5"/>
      <c r="H112" s="5"/>
    </row>
    <row r="113" customFormat="false" ht="12.8" hidden="false" customHeight="false" outlineLevel="0" collapsed="false">
      <c r="A113" s="1" t="n">
        <v>111</v>
      </c>
      <c r="D113" s="5"/>
      <c r="E113" s="5"/>
      <c r="F113" s="5"/>
      <c r="G113" s="5"/>
      <c r="H113" s="5"/>
    </row>
    <row r="114" customFormat="false" ht="12.8" hidden="false" customHeight="false" outlineLevel="0" collapsed="false">
      <c r="A114" s="1" t="n">
        <v>112</v>
      </c>
      <c r="D114" s="5"/>
      <c r="E114" s="5"/>
      <c r="F114" s="5"/>
      <c r="G114" s="5"/>
      <c r="H114" s="5"/>
    </row>
    <row r="115" customFormat="false" ht="12.8" hidden="false" customHeight="false" outlineLevel="0" collapsed="false">
      <c r="D115" s="5"/>
      <c r="E115" s="5"/>
      <c r="F115" s="5"/>
      <c r="G115" s="5"/>
      <c r="H115" s="5"/>
    </row>
    <row r="116" customFormat="false" ht="12.8" hidden="false" customHeight="false" outlineLevel="0" collapsed="false">
      <c r="D116" s="5"/>
      <c r="E116" s="5"/>
      <c r="F116" s="5"/>
      <c r="G116" s="5"/>
      <c r="H116" s="5"/>
    </row>
    <row r="117" customFormat="false" ht="12.8" hidden="false" customHeight="false" outlineLevel="0" collapsed="false">
      <c r="D117" s="5"/>
      <c r="E117" s="5"/>
      <c r="F117" s="5"/>
      <c r="G117" s="5"/>
      <c r="H117" s="5"/>
    </row>
    <row r="118" customFormat="false" ht="12.8" hidden="false" customHeight="false" outlineLevel="0" collapsed="false">
      <c r="D118" s="5"/>
      <c r="E118" s="5"/>
      <c r="F118" s="5"/>
      <c r="G118" s="5"/>
      <c r="H118" s="5"/>
    </row>
    <row r="119" customFormat="false" ht="12.8" hidden="false" customHeight="false" outlineLevel="0" collapsed="false">
      <c r="D119" s="5"/>
      <c r="E119" s="5"/>
      <c r="F119" s="5"/>
      <c r="G119" s="5"/>
      <c r="H119" s="5"/>
    </row>
    <row r="120" customFormat="false" ht="12.8" hidden="false" customHeight="false" outlineLevel="0" collapsed="false">
      <c r="D120" s="5"/>
      <c r="E120" s="5"/>
      <c r="F120" s="5"/>
      <c r="G120" s="5"/>
      <c r="H120" s="5"/>
    </row>
  </sheetData>
  <conditionalFormatting sqref="D1:H120">
    <cfRule type="cellIs" priority="2" operator="equal" aboveAverage="0" equalAverage="0" bottom="0" percent="0" rank="0" text="" dxfId="0">
      <formula>"Log"</formula>
    </cfRule>
  </conditionalFormatting>
  <conditionalFormatting sqref="D1:H120">
    <cfRule type="cellIs" priority="3" operator="equal" aboveAverage="0" equalAverage="0" bottom="0" percent="0" rank="0" text="" dxfId="1">
      <formula>"Patroon"</formula>
    </cfRule>
  </conditionalFormatting>
  <conditionalFormatting sqref="D1:H120">
    <cfRule type="cellIs" priority="4" operator="equal" aboveAverage="0" equalAverage="0" bottom="0" percent="0" rank="0" text="" dxfId="2">
      <formula>"Gedicht"</formula>
    </cfRule>
  </conditionalFormatting>
  <conditionalFormatting sqref="D1:H120">
    <cfRule type="cellIs" priority="5" operator="equal" aboveAverage="0" equalAverage="0" bottom="0" percent="0" rank="0" text="" dxfId="3">
      <formula>"Schets"</formula>
    </cfRule>
  </conditionalFormatting>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33" activeCellId="0" sqref="G33"/>
    </sheetView>
  </sheetViews>
  <sheetFormatPr defaultRowHeight="12.8" zeroHeight="false" outlineLevelRow="0" outlineLevelCol="0"/>
  <cols>
    <col collapsed="false" customWidth="true" hidden="false" outlineLevel="0" max="1" min="1" style="1" width="5.16"/>
    <col collapsed="false" customWidth="true" hidden="false" outlineLevel="0" max="2" min="2" style="1" width="4.9"/>
    <col collapsed="false" customWidth="true" hidden="false" outlineLevel="0" max="3" min="3" style="1" width="7.95"/>
    <col collapsed="false" customWidth="true" hidden="true" outlineLevel="0" max="4" min="4" style="1" width="13.93"/>
    <col collapsed="false" customWidth="true" hidden="false" outlineLevel="0" max="5" min="5" style="0" width="13.93"/>
    <col collapsed="false" customWidth="false" hidden="false" outlineLevel="0" max="1025" min="6" style="0" width="11.52"/>
  </cols>
  <sheetData>
    <row r="1" s="4" customFormat="true" ht="12.8" hidden="false" customHeight="false" outlineLevel="0" collapsed="false">
      <c r="A1" s="4" t="s">
        <v>42</v>
      </c>
      <c r="B1" s="4" t="s">
        <v>43</v>
      </c>
      <c r="C1" s="4" t="s">
        <v>44</v>
      </c>
      <c r="E1" s="4" t="s">
        <v>2</v>
      </c>
    </row>
    <row r="2" customFormat="false" ht="12.8" hidden="false" customHeight="false" outlineLevel="0" collapsed="false">
      <c r="A2" s="1" t="n">
        <v>429</v>
      </c>
      <c r="B2" s="1" t="n">
        <v>153</v>
      </c>
      <c r="C2" s="1" t="n">
        <f aca="false">ROUNDDOWN(IF(A2&gt;0,D2-(415+(270/365)),""),0)</f>
        <v>13</v>
      </c>
      <c r="D2" s="1" t="n">
        <f aca="false">A2+(153/365)</f>
        <v>429.419178082192</v>
      </c>
      <c r="E2" s="0" t="s">
        <v>45</v>
      </c>
    </row>
    <row r="3" customFormat="false" ht="12.8" hidden="false" customHeight="false" outlineLevel="0" collapsed="false">
      <c r="A3" s="1" t="n">
        <v>429</v>
      </c>
      <c r="B3" s="1" t="n">
        <v>268</v>
      </c>
      <c r="C3" s="1" t="n">
        <f aca="false">ROUNDDOWN(IF(A3&gt;0,D3-(415+(270/365)),""),0)</f>
        <v>13</v>
      </c>
      <c r="D3" s="1" t="n">
        <f aca="false">A3+(153/365)</f>
        <v>429.419178082192</v>
      </c>
      <c r="E3" s="0" t="s">
        <v>46</v>
      </c>
    </row>
    <row r="4" customFormat="false" ht="12.8" hidden="false" customHeight="false" outlineLevel="0" collapsed="false">
      <c r="A4" s="1" t="n">
        <v>432</v>
      </c>
      <c r="B4" s="1" t="n">
        <v>352</v>
      </c>
      <c r="C4" s="1" t="n">
        <f aca="false">ROUNDDOWN(IF(A4&gt;0,D4-(415+(270/365)),""),0)</f>
        <v>16</v>
      </c>
      <c r="D4" s="1" t="n">
        <f aca="false">A4+(153/365)</f>
        <v>432.419178082192</v>
      </c>
      <c r="E4" s="0" t="s">
        <v>47</v>
      </c>
    </row>
    <row r="5" customFormat="false" ht="12.8" hidden="false" customHeight="false" outlineLevel="0" collapsed="false">
      <c r="A5" s="7" t="n">
        <v>433</v>
      </c>
      <c r="B5" s="7" t="n">
        <v>201</v>
      </c>
      <c r="C5" s="7" t="n">
        <f aca="false">ROUNDDOWN(IF(A5&gt;0,D5-(415+(270/365)),""),0)</f>
        <v>17</v>
      </c>
      <c r="D5" s="7" t="n">
        <f aca="false">A5+(153/365)</f>
        <v>433.419178082192</v>
      </c>
      <c r="E5" s="8" t="s">
        <v>48</v>
      </c>
    </row>
    <row r="6" customFormat="false" ht="12.8" hidden="false" customHeight="false" outlineLevel="0" collapsed="false">
      <c r="A6" s="1" t="n">
        <v>436</v>
      </c>
      <c r="B6" s="1" t="n">
        <v>67</v>
      </c>
      <c r="C6" s="1" t="n">
        <f aca="false">ROUNDDOWN(IF(A6&gt;0,D6-(415+(270/365)),""),0)</f>
        <v>20</v>
      </c>
      <c r="D6" s="1" t="n">
        <f aca="false">A6+(153/365)</f>
        <v>436.419178082192</v>
      </c>
      <c r="E6" s="0" t="s">
        <v>49</v>
      </c>
    </row>
    <row r="7" customFormat="false" ht="12.8" hidden="false" customHeight="false" outlineLevel="0" collapsed="false">
      <c r="A7" s="1" t="n">
        <v>436</v>
      </c>
      <c r="B7" s="1" t="n">
        <v>199</v>
      </c>
      <c r="C7" s="1" t="n">
        <f aca="false">ROUNDDOWN(IF(A7&gt;0,D7-(415+(270/365)),""),0)</f>
        <v>20</v>
      </c>
      <c r="D7" s="1" t="n">
        <f aca="false">A7+(153/365)</f>
        <v>436.419178082192</v>
      </c>
      <c r="E7" s="0" t="s">
        <v>50</v>
      </c>
    </row>
    <row r="8" customFormat="false" ht="12.8" hidden="false" customHeight="false" outlineLevel="0" collapsed="false">
      <c r="A8" s="1" t="n">
        <v>437</v>
      </c>
      <c r="B8" s="1" t="n">
        <v>153</v>
      </c>
      <c r="C8" s="1" t="n">
        <f aca="false">ROUNDDOWN(IF(A8&gt;0,D8-(415+(270/365)),""),0)</f>
        <v>21</v>
      </c>
      <c r="D8" s="1" t="n">
        <f aca="false">A8+(153/365)</f>
        <v>437.419178082192</v>
      </c>
      <c r="E8" s="0" t="s">
        <v>51</v>
      </c>
    </row>
    <row r="9" customFormat="false" ht="12.8" hidden="false" customHeight="false" outlineLevel="0" collapsed="false">
      <c r="A9" s="1" t="n">
        <v>439</v>
      </c>
      <c r="B9" s="1" t="n">
        <v>241</v>
      </c>
      <c r="C9" s="1" t="n">
        <f aca="false">ROUNDDOWN(IF(A9&gt;0,D9-(415+(270/365)),""),0)</f>
        <v>23</v>
      </c>
      <c r="D9" s="1" t="n">
        <f aca="false">A9+(153/365)</f>
        <v>439.419178082192</v>
      </c>
      <c r="E9" s="0" t="s">
        <v>52</v>
      </c>
    </row>
    <row r="10" customFormat="false" ht="12.8" hidden="false" customHeight="false" outlineLevel="0" collapsed="false">
      <c r="A10" s="1" t="n">
        <v>440</v>
      </c>
      <c r="B10" s="1" t="n">
        <v>93</v>
      </c>
      <c r="C10" s="1" t="n">
        <f aca="false">ROUNDDOWN(IF(A10&gt;0,D10-(415+(270/365)),""),0)</f>
        <v>24</v>
      </c>
      <c r="D10" s="1" t="n">
        <f aca="false">A10+(153/365)</f>
        <v>440.419178082192</v>
      </c>
      <c r="E10" s="0" t="s">
        <v>53</v>
      </c>
    </row>
    <row r="11" customFormat="false" ht="12.8" hidden="false" customHeight="false" outlineLevel="0" collapsed="false">
      <c r="A11" s="1" t="n">
        <v>443</v>
      </c>
      <c r="B11" s="1" t="n">
        <v>302</v>
      </c>
      <c r="C11" s="1" t="n">
        <f aca="false">ROUNDDOWN(IF(A11&gt;0,D11-(415+(270/365)),""),0)</f>
        <v>27</v>
      </c>
      <c r="D11" s="1" t="n">
        <f aca="false">A11+(153/365)</f>
        <v>443.419178082192</v>
      </c>
      <c r="E11" s="0" t="s">
        <v>54</v>
      </c>
    </row>
    <row r="12" customFormat="false" ht="12.8" hidden="false" customHeight="false" outlineLevel="0" collapsed="false">
      <c r="A12" s="1" t="n">
        <v>446</v>
      </c>
      <c r="B12" s="1" t="n">
        <v>212</v>
      </c>
      <c r="C12" s="1" t="n">
        <f aca="false">ROUNDDOWN(IF(A12&gt;0,D12-(415+(270/365)),""),0)</f>
        <v>30</v>
      </c>
      <c r="D12" s="1" t="n">
        <f aca="false">A12+(153/365)</f>
        <v>446.419178082192</v>
      </c>
      <c r="E12" s="0" t="s">
        <v>55</v>
      </c>
    </row>
    <row r="13" customFormat="false" ht="12.8" hidden="false" customHeight="false" outlineLevel="0" collapsed="false">
      <c r="A13" s="1" t="n">
        <v>447</v>
      </c>
      <c r="B13" s="1" t="n">
        <v>112</v>
      </c>
      <c r="C13" s="1" t="n">
        <f aca="false">ROUNDDOWN(IF(A13&gt;0,D13-(415+(270/365)),""),0)</f>
        <v>31</v>
      </c>
      <c r="D13" s="1" t="n">
        <f aca="false">A13+(153/365)</f>
        <v>447.419178082192</v>
      </c>
      <c r="E13" s="0" t="s">
        <v>56</v>
      </c>
    </row>
    <row r="14" customFormat="false" ht="12.8" hidden="false" customHeight="false" outlineLevel="0" collapsed="false">
      <c r="A14" s="7" t="n">
        <v>447</v>
      </c>
      <c r="B14" s="7" t="n">
        <v>288</v>
      </c>
      <c r="C14" s="7" t="n">
        <f aca="false">ROUNDDOWN(IF(A14&gt;0,D14-(415+(270/365)),""),0)</f>
        <v>31</v>
      </c>
      <c r="D14" s="7" t="n">
        <f aca="false">A14+(153/365)</f>
        <v>447.419178082192</v>
      </c>
      <c r="E14" s="8" t="s">
        <v>57</v>
      </c>
    </row>
    <row r="15" customFormat="false" ht="12.8" hidden="false" customHeight="false" outlineLevel="0" collapsed="false">
      <c r="A15" s="1" t="n">
        <v>448</v>
      </c>
      <c r="B15" s="1" t="n">
        <v>189</v>
      </c>
      <c r="C15" s="1" t="n">
        <f aca="false">ROUNDDOWN(IF(A15&gt;0,D15-(415+(270/365)),""),0)</f>
        <v>32</v>
      </c>
      <c r="D15" s="1" t="n">
        <f aca="false">A15+(153/365)</f>
        <v>448.419178082192</v>
      </c>
      <c r="E15" s="0" t="s">
        <v>58</v>
      </c>
    </row>
    <row r="16" customFormat="false" ht="12.8" hidden="false" customHeight="false" outlineLevel="0" collapsed="false">
      <c r="A16" s="7" t="n">
        <v>449</v>
      </c>
      <c r="B16" s="7" t="n">
        <v>172</v>
      </c>
      <c r="C16" s="7" t="n">
        <f aca="false">ROUNDDOWN(IF(A16&gt;0,D16-(415+(270/365)),""),0)</f>
        <v>33</v>
      </c>
      <c r="D16" s="7" t="n">
        <f aca="false">A16+(153/365)</f>
        <v>449.419178082192</v>
      </c>
      <c r="E16" s="8" t="s">
        <v>59</v>
      </c>
    </row>
    <row r="17" customFormat="false" ht="12.8" hidden="false" customHeight="false" outlineLevel="0" collapsed="false">
      <c r="A17" s="1" t="n">
        <v>449</v>
      </c>
      <c r="B17" s="1" t="n">
        <v>357</v>
      </c>
      <c r="C17" s="1" t="n">
        <f aca="false">ROUNDDOWN(IF(A17&gt;0,D17-(415+(270/365)),""),0)</f>
        <v>33</v>
      </c>
      <c r="D17" s="1" t="n">
        <f aca="false">A17+(153/365)</f>
        <v>449.419178082192</v>
      </c>
      <c r="E17" s="0" t="s">
        <v>60</v>
      </c>
    </row>
    <row r="18" customFormat="false" ht="12.8" hidden="false" customHeight="false" outlineLevel="0" collapsed="false">
      <c r="A18" s="1" t="n">
        <v>450</v>
      </c>
      <c r="B18" s="1" t="n">
        <v>30</v>
      </c>
      <c r="C18" s="1" t="n">
        <f aca="false">ROUNDDOWN(IF(A18&gt;0,D18-(415+(270/365)),""),0)</f>
        <v>34</v>
      </c>
      <c r="D18" s="1" t="n">
        <f aca="false">A18+(153/365)</f>
        <v>450.419178082192</v>
      </c>
      <c r="E18" s="0" t="s">
        <v>61</v>
      </c>
    </row>
    <row r="19" customFormat="false" ht="12.8" hidden="false" customHeight="false" outlineLevel="0" collapsed="false">
      <c r="A19" s="1" t="n">
        <v>450</v>
      </c>
      <c r="B19" s="1" t="n">
        <v>81</v>
      </c>
      <c r="C19" s="1" t="n">
        <f aca="false">ROUNDDOWN(IF(A19&gt;0,D19-(415+(270/365)),""),0)</f>
        <v>34</v>
      </c>
      <c r="D19" s="1" t="n">
        <f aca="false">A19+(153/365)</f>
        <v>450.419178082192</v>
      </c>
      <c r="E19" s="0" t="s">
        <v>62</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sheetPr filterMode="false">
    <pageSetUpPr fitToPage="false"/>
  </sheetPr>
  <dimension ref="A1:F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 zeroHeight="false" outlineLevelRow="0" outlineLevelCol="0"/>
  <cols>
    <col collapsed="false" customWidth="true" hidden="false" outlineLevel="0" max="1" min="1" style="0" width="9.63"/>
    <col collapsed="false" customWidth="true" hidden="false" outlineLevel="0" max="3" min="2" style="0" width="9.91"/>
    <col collapsed="false" customWidth="true" hidden="false" outlineLevel="0" max="4" min="4" style="0" width="10.6"/>
    <col collapsed="false" customWidth="true" hidden="false" outlineLevel="0" max="6" min="5" style="0" width="10.88"/>
    <col collapsed="false" customWidth="false" hidden="false" outlineLevel="0" max="1025" min="7" style="0" width="11.52"/>
  </cols>
  <sheetData>
    <row r="1" s="9" customFormat="true" ht="12.8" hidden="false" customHeight="false" outlineLevel="0" collapsed="false">
      <c r="A1" s="9" t="s">
        <v>63</v>
      </c>
      <c r="B1" s="9" t="s">
        <v>64</v>
      </c>
      <c r="C1" s="9" t="s">
        <v>65</v>
      </c>
      <c r="D1" s="9" t="s">
        <v>66</v>
      </c>
      <c r="E1" s="9" t="s">
        <v>67</v>
      </c>
      <c r="F1" s="9" t="s">
        <v>68</v>
      </c>
    </row>
    <row r="2" customFormat="false" ht="12.8" hidden="false" customHeight="false" outlineLevel="0" collapsed="false">
      <c r="A2" s="10" t="s">
        <v>69</v>
      </c>
      <c r="B2" s="11" t="s">
        <v>70</v>
      </c>
      <c r="C2" s="8" t="s">
        <v>71</v>
      </c>
      <c r="D2" s="0" t="n">
        <f aca="false">IF(ISBLANK(A2),"",COUNTIF(A:A,A2))</f>
        <v>16</v>
      </c>
      <c r="E2" s="0" t="n">
        <f aca="false">IF(ISBLANK(B2),"",COUNTIF(B:B,B2))</f>
        <v>10</v>
      </c>
      <c r="F2" s="0" t="n">
        <f aca="false">IF(ISBLANK(C2),"",COUNTIF(C:C,C2))</f>
        <v>18</v>
      </c>
    </row>
    <row r="3" customFormat="false" ht="12.8" hidden="false" customHeight="false" outlineLevel="0" collapsed="false">
      <c r="A3" s="10" t="s">
        <v>69</v>
      </c>
      <c r="B3" s="11" t="s">
        <v>70</v>
      </c>
      <c r="C3" s="12" t="s">
        <v>72</v>
      </c>
      <c r="D3" s="0" t="n">
        <f aca="false">IF(ISBLANK(A3),"",COUNTIF(A:A,A3))</f>
        <v>16</v>
      </c>
      <c r="E3" s="0" t="n">
        <f aca="false">IF(ISBLANK(B3),"",COUNTIF(B:B,B3))</f>
        <v>10</v>
      </c>
      <c r="F3" s="0" t="n">
        <f aca="false">IF(ISBLANK(C3),"",COUNTIF(C:C,C3))</f>
        <v>11</v>
      </c>
    </row>
    <row r="4" customFormat="false" ht="12.8" hidden="false" customHeight="false" outlineLevel="0" collapsed="false">
      <c r="A4" s="10" t="s">
        <v>69</v>
      </c>
      <c r="B4" s="11" t="s">
        <v>70</v>
      </c>
      <c r="C4" s="13" t="s">
        <v>73</v>
      </c>
      <c r="D4" s="0" t="n">
        <f aca="false">IF(ISBLANK(A4),"",COUNTIF(A:A,A4))</f>
        <v>16</v>
      </c>
      <c r="E4" s="0" t="n">
        <f aca="false">IF(ISBLANK(B4),"",COUNTIF(B:B,B4))</f>
        <v>10</v>
      </c>
      <c r="F4" s="0" t="n">
        <f aca="false">IF(ISBLANK(C4),"",COUNTIF(C:C,C4))</f>
        <v>3</v>
      </c>
    </row>
    <row r="5" customFormat="false" ht="12.8" hidden="false" customHeight="false" outlineLevel="0" collapsed="false">
      <c r="A5" s="10" t="s">
        <v>69</v>
      </c>
      <c r="B5" s="14" t="s">
        <v>74</v>
      </c>
      <c r="C5" s="15" t="s">
        <v>75</v>
      </c>
      <c r="D5" s="0" t="n">
        <f aca="false">IF(ISBLANK(A5),"",COUNTIF(A:A,A5))</f>
        <v>16</v>
      </c>
      <c r="E5" s="0" t="n">
        <f aca="false">IF(ISBLANK(B5),"",COUNTIF(B:B,B5))</f>
        <v>9</v>
      </c>
      <c r="F5" s="0" t="n">
        <f aca="false">IF(ISBLANK(C5),"",COUNTIF(C:C,C5))</f>
        <v>8</v>
      </c>
    </row>
    <row r="6" customFormat="false" ht="12.8" hidden="false" customHeight="false" outlineLevel="0" collapsed="false">
      <c r="A6" s="10" t="s">
        <v>69</v>
      </c>
      <c r="B6" s="14" t="s">
        <v>74</v>
      </c>
      <c r="C6" s="15" t="s">
        <v>75</v>
      </c>
      <c r="D6" s="0" t="n">
        <f aca="false">IF(ISBLANK(A6),"",COUNTIF(A:A,A6))</f>
        <v>16</v>
      </c>
      <c r="E6" s="0" t="n">
        <f aca="false">IF(ISBLANK(B6),"",COUNTIF(B:B,B6))</f>
        <v>9</v>
      </c>
      <c r="F6" s="0" t="n">
        <f aca="false">IF(ISBLANK(C6),"",COUNTIF(C:C,C6))</f>
        <v>8</v>
      </c>
    </row>
    <row r="7" customFormat="false" ht="12.8" hidden="false" customHeight="false" outlineLevel="0" collapsed="false">
      <c r="A7" s="10" t="s">
        <v>69</v>
      </c>
      <c r="B7" s="14" t="s">
        <v>74</v>
      </c>
      <c r="C7" s="13" t="s">
        <v>73</v>
      </c>
      <c r="D7" s="0" t="n">
        <f aca="false">IF(ISBLANK(A7),"",COUNTIF(A:A,A7))</f>
        <v>16</v>
      </c>
      <c r="E7" s="0" t="n">
        <f aca="false">IF(ISBLANK(B7),"",COUNTIF(B:B,B7))</f>
        <v>9</v>
      </c>
      <c r="F7" s="0" t="n">
        <f aca="false">IF(ISBLANK(C7),"",COUNTIF(C:C,C7))</f>
        <v>3</v>
      </c>
    </row>
    <row r="8" customFormat="false" ht="12.8" hidden="false" customHeight="false" outlineLevel="0" collapsed="false">
      <c r="A8" s="10" t="s">
        <v>69</v>
      </c>
      <c r="B8" s="16" t="s">
        <v>76</v>
      </c>
      <c r="C8" s="17" t="s">
        <v>77</v>
      </c>
      <c r="D8" s="0" t="n">
        <f aca="false">IF(ISBLANK(A8),"",COUNTIF(A:A,A8))</f>
        <v>16</v>
      </c>
      <c r="E8" s="0" t="n">
        <f aca="false">IF(ISBLANK(B8),"",COUNTIF(B:B,B8))</f>
        <v>7</v>
      </c>
      <c r="F8" s="0" t="n">
        <f aca="false">IF(ISBLANK(C8),"",COUNTIF(C:C,C8))</f>
        <v>4</v>
      </c>
    </row>
    <row r="9" customFormat="false" ht="12.8" hidden="false" customHeight="false" outlineLevel="0" collapsed="false">
      <c r="A9" s="10" t="s">
        <v>69</v>
      </c>
      <c r="B9" s="16" t="s">
        <v>76</v>
      </c>
      <c r="C9" s="10" t="s">
        <v>78</v>
      </c>
      <c r="D9" s="0" t="n">
        <f aca="false">IF(ISBLANK(A9),"",COUNTIF(A:A,A9))</f>
        <v>16</v>
      </c>
      <c r="E9" s="0" t="n">
        <f aca="false">IF(ISBLANK(B9),"",COUNTIF(B:B,B9))</f>
        <v>7</v>
      </c>
      <c r="F9" s="0" t="n">
        <f aca="false">IF(ISBLANK(C9),"",COUNTIF(C:C,C9))</f>
        <v>4</v>
      </c>
    </row>
    <row r="10" customFormat="false" ht="12.8" hidden="false" customHeight="false" outlineLevel="0" collapsed="false">
      <c r="A10" s="10" t="s">
        <v>69</v>
      </c>
      <c r="B10" s="15" t="s">
        <v>75</v>
      </c>
      <c r="C10" s="10" t="s">
        <v>78</v>
      </c>
      <c r="D10" s="0" t="n">
        <f aca="false">IF(ISBLANK(A10),"",COUNTIF(A:A,A10))</f>
        <v>16</v>
      </c>
      <c r="E10" s="0" t="n">
        <f aca="false">IF(ISBLANK(B10),"",COUNTIF(B:B,B10))</f>
        <v>7</v>
      </c>
      <c r="F10" s="0" t="n">
        <f aca="false">IF(ISBLANK(C10),"",COUNTIF(C:C,C10))</f>
        <v>4</v>
      </c>
    </row>
    <row r="11" customFormat="false" ht="12.8" hidden="false" customHeight="false" outlineLevel="0" collapsed="false">
      <c r="A11" s="10" t="s">
        <v>69</v>
      </c>
      <c r="B11" s="18" t="s">
        <v>79</v>
      </c>
      <c r="C11" s="14" t="s">
        <v>74</v>
      </c>
      <c r="D11" s="0" t="n">
        <f aca="false">IF(ISBLANK(A11),"",COUNTIF(A:A,A11))</f>
        <v>16</v>
      </c>
      <c r="E11" s="0" t="n">
        <f aca="false">IF(ISBLANK(B11),"",COUNTIF(B:B,B11))</f>
        <v>7</v>
      </c>
      <c r="F11" s="0" t="n">
        <f aca="false">IF(ISBLANK(C11),"",COUNTIF(C:C,C11))</f>
        <v>3</v>
      </c>
    </row>
    <row r="12" customFormat="false" ht="12.8" hidden="false" customHeight="false" outlineLevel="0" collapsed="false">
      <c r="A12" s="10" t="s">
        <v>69</v>
      </c>
      <c r="B12" s="19" t="s">
        <v>80</v>
      </c>
      <c r="C12" s="8" t="s">
        <v>71</v>
      </c>
      <c r="D12" s="0" t="n">
        <f aca="false">IF(ISBLANK(A12),"",COUNTIF(A:A,A12))</f>
        <v>16</v>
      </c>
      <c r="E12" s="0" t="n">
        <f aca="false">IF(ISBLANK(B12),"",COUNTIF(B:B,B12))</f>
        <v>5</v>
      </c>
      <c r="F12" s="0" t="n">
        <f aca="false">IF(ISBLANK(C12),"",COUNTIF(C:C,C12))</f>
        <v>18</v>
      </c>
    </row>
    <row r="13" customFormat="false" ht="12.8" hidden="false" customHeight="false" outlineLevel="0" collapsed="false">
      <c r="A13" s="10" t="s">
        <v>69</v>
      </c>
      <c r="B13" s="19" t="s">
        <v>80</v>
      </c>
      <c r="C13" s="10" t="s">
        <v>78</v>
      </c>
      <c r="D13" s="0" t="n">
        <f aca="false">IF(ISBLANK(A13),"",COUNTIF(A:A,A13))</f>
        <v>16</v>
      </c>
      <c r="E13" s="0" t="n">
        <f aca="false">IF(ISBLANK(B13),"",COUNTIF(B:B,B13))</f>
        <v>5</v>
      </c>
      <c r="F13" s="0" t="n">
        <f aca="false">IF(ISBLANK(C13),"",COUNTIF(C:C,C13))</f>
        <v>4</v>
      </c>
    </row>
    <row r="14" customFormat="false" ht="12.8" hidden="false" customHeight="false" outlineLevel="0" collapsed="false">
      <c r="A14" s="10" t="s">
        <v>69</v>
      </c>
      <c r="B14" s="20" t="s">
        <v>81</v>
      </c>
      <c r="C14" s="8" t="s">
        <v>71</v>
      </c>
      <c r="D14" s="0" t="n">
        <f aca="false">IF(ISBLANK(A14),"",COUNTIF(A:A,A14))</f>
        <v>16</v>
      </c>
      <c r="E14" s="0" t="n">
        <f aca="false">IF(ISBLANK(B14),"",COUNTIF(B:B,B14))</f>
        <v>5</v>
      </c>
      <c r="F14" s="0" t="n">
        <f aca="false">IF(ISBLANK(C14),"",COUNTIF(C:C,C14))</f>
        <v>18</v>
      </c>
    </row>
    <row r="15" customFormat="false" ht="12.8" hidden="false" customHeight="false" outlineLevel="0" collapsed="false">
      <c r="A15" s="10" t="s">
        <v>69</v>
      </c>
      <c r="B15" s="20" t="s">
        <v>81</v>
      </c>
      <c r="C15" s="8" t="s">
        <v>71</v>
      </c>
      <c r="D15" s="0" t="n">
        <f aca="false">IF(ISBLANK(A15),"",COUNTIF(A:A,A15))</f>
        <v>16</v>
      </c>
      <c r="E15" s="0" t="n">
        <f aca="false">IF(ISBLANK(B15),"",COUNTIF(B:B,B15))</f>
        <v>5</v>
      </c>
      <c r="F15" s="0" t="n">
        <f aca="false">IF(ISBLANK(C15),"",COUNTIF(C:C,C15))</f>
        <v>18</v>
      </c>
    </row>
    <row r="16" customFormat="false" ht="12.8" hidden="false" customHeight="false" outlineLevel="0" collapsed="false">
      <c r="A16" s="10" t="s">
        <v>69</v>
      </c>
      <c r="B16" s="13" t="s">
        <v>73</v>
      </c>
      <c r="C16" s="11" t="s">
        <v>70</v>
      </c>
      <c r="D16" s="0" t="n">
        <f aca="false">IF(ISBLANK(A16),"",COUNTIF(A:A,A16))</f>
        <v>16</v>
      </c>
      <c r="E16" s="0" t="n">
        <f aca="false">IF(ISBLANK(B16),"",COUNTIF(B:B,B16))</f>
        <v>2</v>
      </c>
      <c r="F16" s="0" t="n">
        <f aca="false">IF(ISBLANK(C16),"",COUNTIF(C:C,C16))</f>
        <v>6</v>
      </c>
    </row>
    <row r="17" customFormat="false" ht="12.8" hidden="false" customHeight="false" outlineLevel="0" collapsed="false">
      <c r="A17" s="10" t="s">
        <v>69</v>
      </c>
      <c r="B17" s="13" t="s">
        <v>73</v>
      </c>
      <c r="C17" s="11" t="s">
        <v>70</v>
      </c>
      <c r="D17" s="0" t="n">
        <f aca="false">IF(ISBLANK(A17),"",COUNTIF(A:A,A17))</f>
        <v>16</v>
      </c>
      <c r="E17" s="0" t="n">
        <f aca="false">IF(ISBLANK(B17),"",COUNTIF(B:B,B17))</f>
        <v>2</v>
      </c>
      <c r="F17" s="0" t="n">
        <f aca="false">IF(ISBLANK(C17),"",COUNTIF(C:C,C17))</f>
        <v>6</v>
      </c>
    </row>
    <row r="18" customFormat="false" ht="12.8" hidden="false" customHeight="false" outlineLevel="0" collapsed="false">
      <c r="A18" s="11" t="s">
        <v>33</v>
      </c>
      <c r="B18" s="11" t="s">
        <v>70</v>
      </c>
      <c r="C18" s="12" t="s">
        <v>72</v>
      </c>
      <c r="D18" s="0" t="n">
        <f aca="false">IF(ISBLANK(A18),"",COUNTIF(A:A,A18))</f>
        <v>15</v>
      </c>
      <c r="E18" s="0" t="n">
        <f aca="false">IF(ISBLANK(B18),"",COUNTIF(B:B,B18))</f>
        <v>10</v>
      </c>
      <c r="F18" s="0" t="n">
        <f aca="false">IF(ISBLANK(C18),"",COUNTIF(C:C,C18))</f>
        <v>11</v>
      </c>
    </row>
    <row r="19" customFormat="false" ht="12.8" hidden="false" customHeight="false" outlineLevel="0" collapsed="false">
      <c r="A19" s="11" t="s">
        <v>33</v>
      </c>
      <c r="B19" s="11" t="s">
        <v>70</v>
      </c>
      <c r="C19" s="12" t="s">
        <v>72</v>
      </c>
      <c r="D19" s="0" t="n">
        <f aca="false">IF(ISBLANK(A19),"",COUNTIF(A:A,A19))</f>
        <v>15</v>
      </c>
      <c r="E19" s="0" t="n">
        <f aca="false">IF(ISBLANK(B19),"",COUNTIF(B:B,B19))</f>
        <v>10</v>
      </c>
      <c r="F19" s="0" t="n">
        <f aca="false">IF(ISBLANK(C19),"",COUNTIF(C:C,C19))</f>
        <v>11</v>
      </c>
    </row>
    <row r="20" customFormat="false" ht="12.8" hidden="false" customHeight="false" outlineLevel="0" collapsed="false">
      <c r="A20" s="11" t="s">
        <v>33</v>
      </c>
      <c r="B20" s="11" t="s">
        <v>70</v>
      </c>
      <c r="C20" s="12" t="s">
        <v>72</v>
      </c>
      <c r="D20" s="0" t="n">
        <f aca="false">IF(ISBLANK(A20),"",COUNTIF(A:A,A20))</f>
        <v>15</v>
      </c>
      <c r="E20" s="0" t="n">
        <f aca="false">IF(ISBLANK(B20),"",COUNTIF(B:B,B20))</f>
        <v>10</v>
      </c>
      <c r="F20" s="0" t="n">
        <f aca="false">IF(ISBLANK(C20),"",COUNTIF(C:C,C20))</f>
        <v>11</v>
      </c>
    </row>
    <row r="21" customFormat="false" ht="12.8" hidden="false" customHeight="false" outlineLevel="0" collapsed="false">
      <c r="A21" s="11" t="s">
        <v>33</v>
      </c>
      <c r="B21" s="8" t="s">
        <v>71</v>
      </c>
      <c r="C21" s="17" t="s">
        <v>77</v>
      </c>
      <c r="D21" s="0" t="n">
        <f aca="false">IF(ISBLANK(A21),"",COUNTIF(A:A,A21))</f>
        <v>15</v>
      </c>
      <c r="E21" s="0" t="n">
        <f aca="false">IF(ISBLANK(B21),"",COUNTIF(B:B,B21))</f>
        <v>9</v>
      </c>
      <c r="F21" s="0" t="n">
        <f aca="false">IF(ISBLANK(C21),"",COUNTIF(C:C,C21))</f>
        <v>4</v>
      </c>
    </row>
    <row r="22" customFormat="false" ht="12.8" hidden="false" customHeight="false" outlineLevel="0" collapsed="false">
      <c r="A22" s="11" t="s">
        <v>33</v>
      </c>
      <c r="B22" s="21" t="s">
        <v>82</v>
      </c>
      <c r="C22" s="12" t="s">
        <v>72</v>
      </c>
      <c r="D22" s="0" t="n">
        <f aca="false">IF(ISBLANK(A22),"",COUNTIF(A:A,A22))</f>
        <v>15</v>
      </c>
      <c r="E22" s="0" t="n">
        <f aca="false">IF(ISBLANK(B22),"",COUNTIF(B:B,B22))</f>
        <v>8</v>
      </c>
      <c r="F22" s="0" t="n">
        <f aca="false">IF(ISBLANK(C22),"",COUNTIF(C:C,C22))</f>
        <v>11</v>
      </c>
    </row>
    <row r="23" customFormat="false" ht="12.8" hidden="false" customHeight="false" outlineLevel="0" collapsed="false">
      <c r="A23" s="11" t="s">
        <v>33</v>
      </c>
      <c r="B23" s="21" t="s">
        <v>82</v>
      </c>
      <c r="C23" s="11" t="s">
        <v>70</v>
      </c>
      <c r="D23" s="0" t="n">
        <f aca="false">IF(ISBLANK(A23),"",COUNTIF(A:A,A23))</f>
        <v>15</v>
      </c>
      <c r="E23" s="0" t="n">
        <f aca="false">IF(ISBLANK(B23),"",COUNTIF(B:B,B23))</f>
        <v>8</v>
      </c>
      <c r="F23" s="0" t="n">
        <f aca="false">IF(ISBLANK(C23),"",COUNTIF(C:C,C23))</f>
        <v>6</v>
      </c>
    </row>
    <row r="24" customFormat="false" ht="12.8" hidden="false" customHeight="false" outlineLevel="0" collapsed="false">
      <c r="A24" s="11" t="s">
        <v>33</v>
      </c>
      <c r="B24" s="21" t="s">
        <v>82</v>
      </c>
      <c r="C24" s="22" t="s">
        <v>83</v>
      </c>
      <c r="D24" s="0" t="n">
        <f aca="false">IF(ISBLANK(A24),"",COUNTIF(A:A,A24))</f>
        <v>15</v>
      </c>
      <c r="E24" s="0" t="n">
        <f aca="false">IF(ISBLANK(B24),"",COUNTIF(B:B,B24))</f>
        <v>8</v>
      </c>
      <c r="F24" s="0" t="n">
        <f aca="false">IF(ISBLANK(C24),"",COUNTIF(C:C,C24))</f>
        <v>3</v>
      </c>
    </row>
    <row r="25" customFormat="false" ht="12.8" hidden="false" customHeight="false" outlineLevel="0" collapsed="false">
      <c r="A25" s="11" t="s">
        <v>33</v>
      </c>
      <c r="B25" s="22" t="s">
        <v>83</v>
      </c>
      <c r="C25" s="8" t="s">
        <v>71</v>
      </c>
      <c r="D25" s="0" t="n">
        <f aca="false">IF(ISBLANK(A25),"",COUNTIF(A:A,A25))</f>
        <v>15</v>
      </c>
      <c r="E25" s="0" t="n">
        <f aca="false">IF(ISBLANK(B25),"",COUNTIF(B:B,B25))</f>
        <v>7</v>
      </c>
      <c r="F25" s="0" t="n">
        <f aca="false">IF(ISBLANK(C25),"",COUNTIF(C:C,C25))</f>
        <v>18</v>
      </c>
    </row>
    <row r="26" customFormat="false" ht="12.8" hidden="false" customHeight="false" outlineLevel="0" collapsed="false">
      <c r="A26" s="11" t="s">
        <v>33</v>
      </c>
      <c r="B26" s="22" t="s">
        <v>83</v>
      </c>
      <c r="C26" s="12" t="s">
        <v>72</v>
      </c>
      <c r="D26" s="0" t="n">
        <f aca="false">IF(ISBLANK(A26),"",COUNTIF(A:A,A26))</f>
        <v>15</v>
      </c>
      <c r="E26" s="0" t="n">
        <f aca="false">IF(ISBLANK(B26),"",COUNTIF(B:B,B26))</f>
        <v>7</v>
      </c>
      <c r="F26" s="0" t="n">
        <f aca="false">IF(ISBLANK(C26),"",COUNTIF(C:C,C26))</f>
        <v>11</v>
      </c>
    </row>
    <row r="27" customFormat="false" ht="12.8" hidden="false" customHeight="false" outlineLevel="0" collapsed="false">
      <c r="A27" s="11" t="s">
        <v>33</v>
      </c>
      <c r="B27" s="16" t="s">
        <v>76</v>
      </c>
      <c r="C27" s="12" t="s">
        <v>72</v>
      </c>
      <c r="D27" s="0" t="n">
        <f aca="false">IF(ISBLANK(A27),"",COUNTIF(A:A,A27))</f>
        <v>15</v>
      </c>
      <c r="E27" s="0" t="n">
        <f aca="false">IF(ISBLANK(B27),"",COUNTIF(B:B,B27))</f>
        <v>7</v>
      </c>
      <c r="F27" s="0" t="n">
        <f aca="false">IF(ISBLANK(C27),"",COUNTIF(C:C,C27))</f>
        <v>11</v>
      </c>
    </row>
    <row r="28" customFormat="false" ht="12.8" hidden="false" customHeight="false" outlineLevel="0" collapsed="false">
      <c r="A28" s="11" t="s">
        <v>33</v>
      </c>
      <c r="B28" s="16" t="s">
        <v>76</v>
      </c>
      <c r="C28" s="23" t="s">
        <v>84</v>
      </c>
      <c r="D28" s="0" t="n">
        <f aca="false">IF(ISBLANK(A28),"",COUNTIF(A:A,A28))</f>
        <v>15</v>
      </c>
      <c r="E28" s="0" t="n">
        <f aca="false">IF(ISBLANK(B28),"",COUNTIF(B:B,B28))</f>
        <v>7</v>
      </c>
      <c r="F28" s="0" t="n">
        <f aca="false">IF(ISBLANK(C28),"",COUNTIF(C:C,C28))</f>
        <v>1</v>
      </c>
    </row>
    <row r="29" customFormat="false" ht="12.8" hidden="false" customHeight="false" outlineLevel="0" collapsed="false">
      <c r="A29" s="11" t="s">
        <v>33</v>
      </c>
      <c r="B29" s="15" t="s">
        <v>75</v>
      </c>
      <c r="C29" s="14" t="s">
        <v>74</v>
      </c>
      <c r="D29" s="0" t="n">
        <f aca="false">IF(ISBLANK(A29),"",COUNTIF(A:A,A29))</f>
        <v>15</v>
      </c>
      <c r="E29" s="0" t="n">
        <f aca="false">IF(ISBLANK(B29),"",COUNTIF(B:B,B29))</f>
        <v>7</v>
      </c>
      <c r="F29" s="0" t="n">
        <f aca="false">IF(ISBLANK(C29),"",COUNTIF(C:C,C29))</f>
        <v>3</v>
      </c>
    </row>
    <row r="30" customFormat="false" ht="12.8" hidden="false" customHeight="false" outlineLevel="0" collapsed="false">
      <c r="A30" s="11" t="s">
        <v>33</v>
      </c>
      <c r="B30" s="15" t="s">
        <v>75</v>
      </c>
      <c r="C30" s="16" t="s">
        <v>76</v>
      </c>
      <c r="D30" s="0" t="n">
        <f aca="false">IF(ISBLANK(A30),"",COUNTIF(A:A,A30))</f>
        <v>15</v>
      </c>
      <c r="E30" s="0" t="n">
        <f aca="false">IF(ISBLANK(B30),"",COUNTIF(B:B,B30))</f>
        <v>7</v>
      </c>
      <c r="F30" s="0" t="n">
        <f aca="false">IF(ISBLANK(C30),"",COUNTIF(C:C,C30))</f>
        <v>2</v>
      </c>
    </row>
    <row r="31" customFormat="false" ht="12.8" hidden="false" customHeight="false" outlineLevel="0" collapsed="false">
      <c r="A31" s="11" t="s">
        <v>33</v>
      </c>
      <c r="B31" s="20" t="s">
        <v>81</v>
      </c>
      <c r="C31" s="8" t="s">
        <v>71</v>
      </c>
      <c r="D31" s="0" t="n">
        <f aca="false">IF(ISBLANK(A31),"",COUNTIF(A:A,A31))</f>
        <v>15</v>
      </c>
      <c r="E31" s="0" t="n">
        <f aca="false">IF(ISBLANK(B31),"",COUNTIF(B:B,B31))</f>
        <v>5</v>
      </c>
      <c r="F31" s="0" t="n">
        <f aca="false">IF(ISBLANK(C31),"",COUNTIF(C:C,C31))</f>
        <v>18</v>
      </c>
    </row>
    <row r="32" customFormat="false" ht="12.8" hidden="false" customHeight="false" outlineLevel="0" collapsed="false">
      <c r="A32" s="11" t="s">
        <v>33</v>
      </c>
      <c r="B32" s="12" t="s">
        <v>72</v>
      </c>
      <c r="C32" s="17" t="s">
        <v>77</v>
      </c>
      <c r="D32" s="0" t="n">
        <f aca="false">IF(ISBLANK(A32),"",COUNTIF(A:A,A32))</f>
        <v>15</v>
      </c>
      <c r="E32" s="0" t="n">
        <f aca="false">IF(ISBLANK(B32),"",COUNTIF(B:B,B32))</f>
        <v>2</v>
      </c>
      <c r="F32" s="0" t="n">
        <f aca="false">IF(ISBLANK(C32),"",COUNTIF(C:C,C32))</f>
        <v>4</v>
      </c>
    </row>
    <row r="33" customFormat="false" ht="12.8" hidden="false" customHeight="false" outlineLevel="0" collapsed="false">
      <c r="A33" s="21" t="s">
        <v>85</v>
      </c>
      <c r="B33" s="8" t="s">
        <v>71</v>
      </c>
      <c r="D33" s="0" t="n">
        <f aca="false">IF(ISBLANK(A33),"",COUNTIF(A:A,A33))</f>
        <v>12</v>
      </c>
      <c r="E33" s="0" t="n">
        <f aca="false">IF(ISBLANK(B33),"",COUNTIF(B:B,B33))</f>
        <v>9</v>
      </c>
      <c r="F33" s="0" t="str">
        <f aca="false">IF(ISBLANK(C33),"",COUNTIF(C:C,C33))</f>
        <v/>
      </c>
    </row>
    <row r="34" customFormat="false" ht="12.8" hidden="false" customHeight="false" outlineLevel="0" collapsed="false">
      <c r="A34" s="21" t="s">
        <v>85</v>
      </c>
      <c r="B34" s="8" t="s">
        <v>71</v>
      </c>
      <c r="D34" s="0" t="n">
        <f aca="false">IF(ISBLANK(A34),"",COUNTIF(A:A,A34))</f>
        <v>12</v>
      </c>
      <c r="E34" s="0" t="n">
        <f aca="false">IF(ISBLANK(B34),"",COUNTIF(B:B,B34))</f>
        <v>9</v>
      </c>
      <c r="F34" s="0" t="str">
        <f aca="false">IF(ISBLANK(C34),"",COUNTIF(C:C,C34))</f>
        <v/>
      </c>
    </row>
    <row r="35" customFormat="false" ht="12.8" hidden="false" customHeight="false" outlineLevel="0" collapsed="false">
      <c r="A35" s="21" t="s">
        <v>85</v>
      </c>
      <c r="B35" s="8" t="s">
        <v>71</v>
      </c>
      <c r="D35" s="0" t="n">
        <f aca="false">IF(ISBLANK(A35),"",COUNTIF(A:A,A35))</f>
        <v>12</v>
      </c>
      <c r="E35" s="0" t="n">
        <f aca="false">IF(ISBLANK(B35),"",COUNTIF(B:B,B35))</f>
        <v>9</v>
      </c>
      <c r="F35" s="0" t="str">
        <f aca="false">IF(ISBLANK(C35),"",COUNTIF(C:C,C35))</f>
        <v/>
      </c>
    </row>
    <row r="36" customFormat="false" ht="12.8" hidden="false" customHeight="false" outlineLevel="0" collapsed="false">
      <c r="A36" s="21" t="s">
        <v>85</v>
      </c>
      <c r="B36" s="8" t="s">
        <v>71</v>
      </c>
      <c r="D36" s="0" t="n">
        <f aca="false">IF(ISBLANK(A36),"",COUNTIF(A:A,A36))</f>
        <v>12</v>
      </c>
      <c r="E36" s="0" t="n">
        <f aca="false">IF(ISBLANK(B36),"",COUNTIF(B:B,B36))</f>
        <v>9</v>
      </c>
      <c r="F36" s="0" t="str">
        <f aca="false">IF(ISBLANK(C36),"",COUNTIF(C:C,C36))</f>
        <v/>
      </c>
    </row>
    <row r="37" customFormat="false" ht="12.8" hidden="false" customHeight="false" outlineLevel="0" collapsed="false">
      <c r="A37" s="21" t="s">
        <v>85</v>
      </c>
      <c r="B37" s="21" t="s">
        <v>82</v>
      </c>
      <c r="D37" s="0" t="n">
        <f aca="false">IF(ISBLANK(A37),"",COUNTIF(A:A,A37))</f>
        <v>12</v>
      </c>
      <c r="E37" s="0" t="n">
        <f aca="false">IF(ISBLANK(B37),"",COUNTIF(B:B,B37))</f>
        <v>8</v>
      </c>
      <c r="F37" s="0" t="str">
        <f aca="false">IF(ISBLANK(C37),"",COUNTIF(C:C,C37))</f>
        <v/>
      </c>
    </row>
    <row r="38" customFormat="false" ht="12.8" hidden="false" customHeight="false" outlineLevel="0" collapsed="false">
      <c r="A38" s="21" t="s">
        <v>85</v>
      </c>
      <c r="B38" s="22" t="s">
        <v>83</v>
      </c>
      <c r="D38" s="0" t="n">
        <f aca="false">IF(ISBLANK(A38),"",COUNTIF(A:A,A38))</f>
        <v>12</v>
      </c>
      <c r="E38" s="0" t="n">
        <f aca="false">IF(ISBLANK(B38),"",COUNTIF(B:B,B38))</f>
        <v>7</v>
      </c>
      <c r="F38" s="0" t="str">
        <f aca="false">IF(ISBLANK(C38),"",COUNTIF(C:C,C38))</f>
        <v/>
      </c>
    </row>
    <row r="39" customFormat="false" ht="12.8" hidden="false" customHeight="false" outlineLevel="0" collapsed="false">
      <c r="A39" s="21" t="s">
        <v>85</v>
      </c>
      <c r="B39" s="22" t="s">
        <v>83</v>
      </c>
      <c r="D39" s="0" t="n">
        <f aca="false">IF(ISBLANK(A39),"",COUNTIF(A:A,A39))</f>
        <v>12</v>
      </c>
      <c r="E39" s="0" t="n">
        <f aca="false">IF(ISBLANK(B39),"",COUNTIF(B:B,B39))</f>
        <v>7</v>
      </c>
      <c r="F39" s="0" t="str">
        <f aca="false">IF(ISBLANK(C39),"",COUNTIF(C:C,C39))</f>
        <v/>
      </c>
    </row>
    <row r="40" customFormat="false" ht="12.8" hidden="false" customHeight="false" outlineLevel="0" collapsed="false">
      <c r="A40" s="21" t="s">
        <v>85</v>
      </c>
      <c r="B40" s="17" t="s">
        <v>77</v>
      </c>
      <c r="D40" s="0" t="n">
        <f aca="false">IF(ISBLANK(A40),"",COUNTIF(A:A,A40))</f>
        <v>12</v>
      </c>
      <c r="E40" s="0" t="n">
        <f aca="false">IF(ISBLANK(B40),"",COUNTIF(B:B,B40))</f>
        <v>5</v>
      </c>
      <c r="F40" s="0" t="str">
        <f aca="false">IF(ISBLANK(C40),"",COUNTIF(C:C,C40))</f>
        <v/>
      </c>
    </row>
    <row r="41" customFormat="false" ht="12.8" hidden="false" customHeight="false" outlineLevel="0" collapsed="false">
      <c r="A41" s="21" t="s">
        <v>85</v>
      </c>
      <c r="B41" s="17" t="s">
        <v>77</v>
      </c>
      <c r="D41" s="0" t="n">
        <f aca="false">IF(ISBLANK(A41),"",COUNTIF(A:A,A41))</f>
        <v>12</v>
      </c>
      <c r="E41" s="0" t="n">
        <f aca="false">IF(ISBLANK(B41),"",COUNTIF(B:B,B41))</f>
        <v>5</v>
      </c>
      <c r="F41" s="0" t="str">
        <f aca="false">IF(ISBLANK(C41),"",COUNTIF(C:C,C41))</f>
        <v/>
      </c>
    </row>
    <row r="42" customFormat="false" ht="12.8" hidden="false" customHeight="false" outlineLevel="0" collapsed="false">
      <c r="A42" s="21" t="s">
        <v>85</v>
      </c>
      <c r="B42" s="17" t="s">
        <v>77</v>
      </c>
      <c r="D42" s="0" t="n">
        <f aca="false">IF(ISBLANK(A42),"",COUNTIF(A:A,A42))</f>
        <v>12</v>
      </c>
      <c r="E42" s="0" t="n">
        <f aca="false">IF(ISBLANK(B42),"",COUNTIF(B:B,B42))</f>
        <v>5</v>
      </c>
      <c r="F42" s="0" t="str">
        <f aca="false">IF(ISBLANK(C42),"",COUNTIF(C:C,C42))</f>
        <v/>
      </c>
    </row>
    <row r="43" customFormat="false" ht="12.8" hidden="false" customHeight="false" outlineLevel="0" collapsed="false">
      <c r="A43" s="21" t="s">
        <v>85</v>
      </c>
      <c r="B43" s="24" t="s">
        <v>86</v>
      </c>
      <c r="D43" s="0" t="n">
        <f aca="false">IF(ISBLANK(A43),"",COUNTIF(A:A,A43))</f>
        <v>12</v>
      </c>
      <c r="E43" s="0" t="n">
        <f aca="false">IF(ISBLANK(B43),"",COUNTIF(B:B,B43))</f>
        <v>2</v>
      </c>
      <c r="F43" s="0" t="str">
        <f aca="false">IF(ISBLANK(C43),"",COUNTIF(C:C,C43))</f>
        <v/>
      </c>
    </row>
    <row r="44" customFormat="false" ht="12.8" hidden="false" customHeight="false" outlineLevel="0" collapsed="false">
      <c r="A44" s="21" t="s">
        <v>85</v>
      </c>
      <c r="B44" s="24" t="s">
        <v>86</v>
      </c>
      <c r="D44" s="0" t="n">
        <f aca="false">IF(ISBLANK(A44),"",COUNTIF(A:A,A44))</f>
        <v>12</v>
      </c>
      <c r="E44" s="0" t="n">
        <f aca="false">IF(ISBLANK(B44),"",COUNTIF(B:B,B44))</f>
        <v>2</v>
      </c>
      <c r="F44" s="0" t="str">
        <f aca="false">IF(ISBLANK(C44),"",COUNTIF(C:C,C44))</f>
        <v/>
      </c>
    </row>
    <row r="45" customFormat="false" ht="12.8" hidden="false" customHeight="false" outlineLevel="0" collapsed="false">
      <c r="A45" s="20" t="s">
        <v>19</v>
      </c>
      <c r="B45" s="11" t="s">
        <v>70</v>
      </c>
      <c r="C45" s="12" t="s">
        <v>72</v>
      </c>
      <c r="D45" s="0" t="n">
        <f aca="false">IF(ISBLANK(A45),"",COUNTIF(A:A,A45))</f>
        <v>11</v>
      </c>
      <c r="E45" s="0" t="n">
        <f aca="false">IF(ISBLANK(B45),"",COUNTIF(B:B,B45))</f>
        <v>10</v>
      </c>
      <c r="F45" s="0" t="n">
        <f aca="false">IF(ISBLANK(C45),"",COUNTIF(C:C,C45))</f>
        <v>11</v>
      </c>
    </row>
    <row r="46" customFormat="false" ht="12.8" hidden="false" customHeight="false" outlineLevel="0" collapsed="false">
      <c r="A46" s="20" t="s">
        <v>19</v>
      </c>
      <c r="B46" s="11" t="s">
        <v>70</v>
      </c>
      <c r="C46" s="12" t="s">
        <v>72</v>
      </c>
      <c r="D46" s="0" t="n">
        <f aca="false">IF(ISBLANK(A46),"",COUNTIF(A:A,A46))</f>
        <v>11</v>
      </c>
      <c r="E46" s="0" t="n">
        <f aca="false">IF(ISBLANK(B46),"",COUNTIF(B:B,B46))</f>
        <v>10</v>
      </c>
      <c r="F46" s="0" t="n">
        <f aca="false">IF(ISBLANK(C46),"",COUNTIF(C:C,C46))</f>
        <v>11</v>
      </c>
    </row>
    <row r="47" customFormat="false" ht="12.8" hidden="false" customHeight="false" outlineLevel="0" collapsed="false">
      <c r="A47" s="20" t="s">
        <v>19</v>
      </c>
      <c r="B47" s="11" t="s">
        <v>70</v>
      </c>
      <c r="C47" s="22" t="s">
        <v>83</v>
      </c>
      <c r="D47" s="0" t="n">
        <f aca="false">IF(ISBLANK(A47),"",COUNTIF(A:A,A47))</f>
        <v>11</v>
      </c>
      <c r="E47" s="0" t="n">
        <f aca="false">IF(ISBLANK(B47),"",COUNTIF(B:B,B47))</f>
        <v>10</v>
      </c>
      <c r="F47" s="0" t="n">
        <f aca="false">IF(ISBLANK(C47),"",COUNTIF(C:C,C47))</f>
        <v>3</v>
      </c>
    </row>
    <row r="48" customFormat="false" ht="12.8" hidden="false" customHeight="false" outlineLevel="0" collapsed="false">
      <c r="A48" s="20" t="s">
        <v>19</v>
      </c>
      <c r="B48" s="8" t="s">
        <v>71</v>
      </c>
      <c r="C48" s="20" t="s">
        <v>81</v>
      </c>
      <c r="D48" s="0" t="n">
        <f aca="false">IF(ISBLANK(A48),"",COUNTIF(A:A,A48))</f>
        <v>11</v>
      </c>
      <c r="E48" s="0" t="n">
        <f aca="false">IF(ISBLANK(B48),"",COUNTIF(B:B,B48))</f>
        <v>9</v>
      </c>
      <c r="F48" s="0" t="n">
        <f aca="false">IF(ISBLANK(C48),"",COUNTIF(C:C,C48))</f>
        <v>1</v>
      </c>
    </row>
    <row r="49" customFormat="false" ht="12.8" hidden="false" customHeight="false" outlineLevel="0" collapsed="false">
      <c r="A49" s="20" t="s">
        <v>19</v>
      </c>
      <c r="B49" s="22" t="s">
        <v>83</v>
      </c>
      <c r="C49" s="11" t="s">
        <v>70</v>
      </c>
      <c r="D49" s="0" t="n">
        <f aca="false">IF(ISBLANK(A49),"",COUNTIF(A:A,A49))</f>
        <v>11</v>
      </c>
      <c r="E49" s="0" t="n">
        <f aca="false">IF(ISBLANK(B49),"",COUNTIF(B:B,B49))</f>
        <v>7</v>
      </c>
      <c r="F49" s="0" t="n">
        <f aca="false">IF(ISBLANK(C49),"",COUNTIF(C:C,C49))</f>
        <v>6</v>
      </c>
    </row>
    <row r="50" customFormat="false" ht="12.8" hidden="false" customHeight="false" outlineLevel="0" collapsed="false">
      <c r="A50" s="20" t="s">
        <v>19</v>
      </c>
      <c r="B50" s="22" t="s">
        <v>83</v>
      </c>
      <c r="C50" s="11" t="s">
        <v>70</v>
      </c>
      <c r="D50" s="0" t="n">
        <f aca="false">IF(ISBLANK(A50),"",COUNTIF(A:A,A50))</f>
        <v>11</v>
      </c>
      <c r="E50" s="0" t="n">
        <f aca="false">IF(ISBLANK(B50),"",COUNTIF(B:B,B50))</f>
        <v>7</v>
      </c>
      <c r="F50" s="0" t="n">
        <f aca="false">IF(ISBLANK(C50),"",COUNTIF(C:C,C50))</f>
        <v>6</v>
      </c>
    </row>
    <row r="51" customFormat="false" ht="12.8" hidden="false" customHeight="false" outlineLevel="0" collapsed="false">
      <c r="A51" s="20" t="s">
        <v>19</v>
      </c>
      <c r="B51" s="16" t="s">
        <v>76</v>
      </c>
      <c r="C51" s="12" t="s">
        <v>72</v>
      </c>
      <c r="D51" s="0" t="n">
        <f aca="false">IF(ISBLANK(A51),"",COUNTIF(A:A,A51))</f>
        <v>11</v>
      </c>
      <c r="E51" s="0" t="n">
        <f aca="false">IF(ISBLANK(B51),"",COUNTIF(B:B,B51))</f>
        <v>7</v>
      </c>
      <c r="F51" s="0" t="n">
        <f aca="false">IF(ISBLANK(C51),"",COUNTIF(C:C,C51))</f>
        <v>11</v>
      </c>
    </row>
    <row r="52" customFormat="false" ht="12.8" hidden="false" customHeight="false" outlineLevel="0" collapsed="false">
      <c r="A52" s="20" t="s">
        <v>19</v>
      </c>
      <c r="B52" s="16" t="s">
        <v>76</v>
      </c>
      <c r="C52" s="15" t="s">
        <v>75</v>
      </c>
      <c r="D52" s="0" t="n">
        <f aca="false">IF(ISBLANK(A52),"",COUNTIF(A:A,A52))</f>
        <v>11</v>
      </c>
      <c r="E52" s="0" t="n">
        <f aca="false">IF(ISBLANK(B52),"",COUNTIF(B:B,B52))</f>
        <v>7</v>
      </c>
      <c r="F52" s="0" t="n">
        <f aca="false">IF(ISBLANK(C52),"",COUNTIF(C:C,C52))</f>
        <v>8</v>
      </c>
    </row>
    <row r="53" customFormat="false" ht="12.8" hidden="false" customHeight="false" outlineLevel="0" collapsed="false">
      <c r="A53" s="20" t="s">
        <v>19</v>
      </c>
      <c r="B53" s="15" t="s">
        <v>75</v>
      </c>
      <c r="C53" s="19" t="s">
        <v>80</v>
      </c>
      <c r="D53" s="0" t="n">
        <f aca="false">IF(ISBLANK(A53),"",COUNTIF(A:A,A53))</f>
        <v>11</v>
      </c>
      <c r="E53" s="0" t="n">
        <f aca="false">IF(ISBLANK(B53),"",COUNTIF(B:B,B53))</f>
        <v>7</v>
      </c>
      <c r="F53" s="0" t="n">
        <f aca="false">IF(ISBLANK(C53),"",COUNTIF(C:C,C53))</f>
        <v>3</v>
      </c>
    </row>
    <row r="54" customFormat="false" ht="12.8" hidden="false" customHeight="false" outlineLevel="0" collapsed="false">
      <c r="A54" s="20" t="s">
        <v>19</v>
      </c>
      <c r="B54" s="20" t="s">
        <v>81</v>
      </c>
      <c r="C54" s="8" t="s">
        <v>71</v>
      </c>
      <c r="D54" s="0" t="n">
        <f aca="false">IF(ISBLANK(A54),"",COUNTIF(A:A,A54))</f>
        <v>11</v>
      </c>
      <c r="E54" s="0" t="n">
        <f aca="false">IF(ISBLANK(B54),"",COUNTIF(B:B,B54))</f>
        <v>5</v>
      </c>
      <c r="F54" s="0" t="n">
        <f aca="false">IF(ISBLANK(C54),"",COUNTIF(C:C,C54))</f>
        <v>18</v>
      </c>
    </row>
    <row r="55" customFormat="false" ht="12.8" hidden="false" customHeight="false" outlineLevel="0" collapsed="false">
      <c r="A55" s="20" t="s">
        <v>19</v>
      </c>
      <c r="B55" s="25" t="s">
        <v>87</v>
      </c>
      <c r="C55" s="8" t="s">
        <v>71</v>
      </c>
      <c r="D55" s="0" t="n">
        <f aca="false">IF(ISBLANK(A55),"",COUNTIF(A:A,A55))</f>
        <v>11</v>
      </c>
      <c r="E55" s="0" t="n">
        <f aca="false">IF(ISBLANK(B55),"",COUNTIF(B:B,B55))</f>
        <v>2</v>
      </c>
      <c r="F55" s="0" t="n">
        <f aca="false">IF(ISBLANK(C55),"",COUNTIF(C:C,C55))</f>
        <v>18</v>
      </c>
    </row>
    <row r="56" customFormat="false" ht="12.8" hidden="false" customHeight="false" outlineLevel="0" collapsed="false">
      <c r="A56" s="15" t="s">
        <v>88</v>
      </c>
      <c r="B56" s="14" t="s">
        <v>74</v>
      </c>
      <c r="C56" s="15" t="s">
        <v>75</v>
      </c>
      <c r="D56" s="0" t="n">
        <f aca="false">IF(ISBLANK(A56),"",COUNTIF(A:A,A56))</f>
        <v>10</v>
      </c>
      <c r="E56" s="0" t="n">
        <f aca="false">IF(ISBLANK(B56),"",COUNTIF(B:B,B56))</f>
        <v>9</v>
      </c>
      <c r="F56" s="0" t="n">
        <f aca="false">IF(ISBLANK(C56),"",COUNTIF(C:C,C56))</f>
        <v>8</v>
      </c>
    </row>
    <row r="57" customFormat="false" ht="12.8" hidden="false" customHeight="false" outlineLevel="0" collapsed="false">
      <c r="A57" s="15" t="s">
        <v>88</v>
      </c>
      <c r="B57" s="14" t="s">
        <v>74</v>
      </c>
      <c r="C57" s="15" t="s">
        <v>75</v>
      </c>
      <c r="D57" s="0" t="n">
        <f aca="false">IF(ISBLANK(A57),"",COUNTIF(A:A,A57))</f>
        <v>10</v>
      </c>
      <c r="E57" s="0" t="n">
        <f aca="false">IF(ISBLANK(B57),"",COUNTIF(B:B,B57))</f>
        <v>9</v>
      </c>
      <c r="F57" s="0" t="n">
        <f aca="false">IF(ISBLANK(C57),"",COUNTIF(C:C,C57))</f>
        <v>8</v>
      </c>
    </row>
    <row r="58" customFormat="false" ht="12.8" hidden="false" customHeight="false" outlineLevel="0" collapsed="false">
      <c r="A58" s="15" t="s">
        <v>88</v>
      </c>
      <c r="B58" s="14" t="s">
        <v>74</v>
      </c>
      <c r="C58" s="15" t="s">
        <v>75</v>
      </c>
      <c r="D58" s="0" t="n">
        <f aca="false">IF(ISBLANK(A58),"",COUNTIF(A:A,A58))</f>
        <v>10</v>
      </c>
      <c r="E58" s="0" t="n">
        <f aca="false">IF(ISBLANK(B58),"",COUNTIF(B:B,B58))</f>
        <v>9</v>
      </c>
      <c r="F58" s="0" t="n">
        <f aca="false">IF(ISBLANK(C58),"",COUNTIF(C:C,C58))</f>
        <v>8</v>
      </c>
    </row>
    <row r="59" customFormat="false" ht="12.8" hidden="false" customHeight="false" outlineLevel="0" collapsed="false">
      <c r="A59" s="15" t="s">
        <v>88</v>
      </c>
      <c r="B59" s="14" t="s">
        <v>74</v>
      </c>
      <c r="C59" s="13" t="s">
        <v>73</v>
      </c>
      <c r="D59" s="0" t="n">
        <f aca="false">IF(ISBLANK(A59),"",COUNTIF(A:A,A59))</f>
        <v>10</v>
      </c>
      <c r="E59" s="0" t="n">
        <f aca="false">IF(ISBLANK(B59),"",COUNTIF(B:B,B59))</f>
        <v>9</v>
      </c>
      <c r="F59" s="0" t="n">
        <f aca="false">IF(ISBLANK(C59),"",COUNTIF(C:C,C59))</f>
        <v>3</v>
      </c>
    </row>
    <row r="60" customFormat="false" ht="12.8" hidden="false" customHeight="false" outlineLevel="0" collapsed="false">
      <c r="A60" s="15" t="s">
        <v>88</v>
      </c>
      <c r="B60" s="16" t="s">
        <v>76</v>
      </c>
      <c r="C60" s="15" t="s">
        <v>75</v>
      </c>
      <c r="D60" s="0" t="n">
        <f aca="false">IF(ISBLANK(A60),"",COUNTIF(A:A,A60))</f>
        <v>10</v>
      </c>
      <c r="E60" s="0" t="n">
        <f aca="false">IF(ISBLANK(B60),"",COUNTIF(B:B,B60))</f>
        <v>7</v>
      </c>
      <c r="F60" s="0" t="n">
        <f aca="false">IF(ISBLANK(C60),"",COUNTIF(C:C,C60))</f>
        <v>8</v>
      </c>
    </row>
    <row r="61" customFormat="false" ht="12.8" hidden="false" customHeight="false" outlineLevel="0" collapsed="false">
      <c r="A61" s="15" t="s">
        <v>88</v>
      </c>
      <c r="B61" s="15" t="s">
        <v>75</v>
      </c>
      <c r="C61" s="19" t="s">
        <v>80</v>
      </c>
      <c r="D61" s="0" t="n">
        <f aca="false">IF(ISBLANK(A61),"",COUNTIF(A:A,A61))</f>
        <v>10</v>
      </c>
      <c r="E61" s="0" t="n">
        <f aca="false">IF(ISBLANK(B61),"",COUNTIF(B:B,B61))</f>
        <v>7</v>
      </c>
      <c r="F61" s="0" t="n">
        <f aca="false">IF(ISBLANK(C61),"",COUNTIF(C:C,C61))</f>
        <v>3</v>
      </c>
    </row>
    <row r="62" customFormat="false" ht="12.8" hidden="false" customHeight="false" outlineLevel="0" collapsed="false">
      <c r="A62" s="15" t="s">
        <v>88</v>
      </c>
      <c r="B62" s="19" t="s">
        <v>80</v>
      </c>
      <c r="C62" s="18" t="s">
        <v>79</v>
      </c>
      <c r="D62" s="0" t="n">
        <f aca="false">IF(ISBLANK(A62),"",COUNTIF(A:A,A62))</f>
        <v>10</v>
      </c>
      <c r="E62" s="0" t="n">
        <f aca="false">IF(ISBLANK(B62),"",COUNTIF(B:B,B62))</f>
        <v>5</v>
      </c>
      <c r="F62" s="0" t="n">
        <f aca="false">IF(ISBLANK(C62),"",COUNTIF(C:C,C62))</f>
        <v>5</v>
      </c>
    </row>
    <row r="63" customFormat="false" ht="12.8" hidden="false" customHeight="false" outlineLevel="0" collapsed="false">
      <c r="A63" s="15" t="s">
        <v>88</v>
      </c>
      <c r="B63" s="19" t="s">
        <v>80</v>
      </c>
      <c r="C63" s="10" t="s">
        <v>78</v>
      </c>
      <c r="D63" s="0" t="n">
        <f aca="false">IF(ISBLANK(A63),"",COUNTIF(A:A,A63))</f>
        <v>10</v>
      </c>
      <c r="E63" s="0" t="n">
        <f aca="false">IF(ISBLANK(B63),"",COUNTIF(B:B,B63))</f>
        <v>5</v>
      </c>
      <c r="F63" s="0" t="n">
        <f aca="false">IF(ISBLANK(C63),"",COUNTIF(C:C,C63))</f>
        <v>4</v>
      </c>
    </row>
    <row r="64" customFormat="false" ht="12.8" hidden="false" customHeight="false" outlineLevel="0" collapsed="false">
      <c r="A64" s="15" t="s">
        <v>88</v>
      </c>
      <c r="B64" s="17" t="s">
        <v>77</v>
      </c>
      <c r="C64" s="8" t="s">
        <v>71</v>
      </c>
      <c r="D64" s="0" t="n">
        <f aca="false">IF(ISBLANK(A64),"",COUNTIF(A:A,A64))</f>
        <v>10</v>
      </c>
      <c r="E64" s="0" t="n">
        <f aca="false">IF(ISBLANK(B64),"",COUNTIF(B:B,B64))</f>
        <v>5</v>
      </c>
      <c r="F64" s="0" t="n">
        <f aca="false">IF(ISBLANK(C64),"",COUNTIF(C:C,C64))</f>
        <v>18</v>
      </c>
    </row>
    <row r="65" customFormat="false" ht="12.8" hidden="false" customHeight="false" outlineLevel="0" collapsed="false">
      <c r="A65" s="15" t="s">
        <v>88</v>
      </c>
      <c r="B65" s="12" t="s">
        <v>72</v>
      </c>
      <c r="C65" s="11" t="s">
        <v>70</v>
      </c>
      <c r="D65" s="0" t="n">
        <f aca="false">IF(ISBLANK(A65),"",COUNTIF(A:A,A65))</f>
        <v>10</v>
      </c>
      <c r="E65" s="0" t="n">
        <f aca="false">IF(ISBLANK(B65),"",COUNTIF(B:B,B65))</f>
        <v>2</v>
      </c>
      <c r="F65" s="0" t="n">
        <f aca="false">IF(ISBLANK(C65),"",COUNTIF(C:C,C65))</f>
        <v>6</v>
      </c>
    </row>
    <row r="66" customFormat="false" ht="12.8" hidden="false" customHeight="false" outlineLevel="0" collapsed="false">
      <c r="A66" s="8" t="s">
        <v>36</v>
      </c>
      <c r="B66" s="18" t="s">
        <v>79</v>
      </c>
      <c r="C66" s="8" t="s">
        <v>71</v>
      </c>
      <c r="D66" s="0" t="n">
        <f aca="false">IF(ISBLANK(A66),"",COUNTIF(A:A,A66))</f>
        <v>6</v>
      </c>
      <c r="E66" s="0" t="n">
        <f aca="false">IF(ISBLANK(B66),"",COUNTIF(B:B,B66))</f>
        <v>7</v>
      </c>
      <c r="F66" s="0" t="n">
        <f aca="false">IF(ISBLANK(C66),"",COUNTIF(C:C,C66))</f>
        <v>18</v>
      </c>
    </row>
    <row r="67" customFormat="false" ht="12.8" hidden="false" customHeight="false" outlineLevel="0" collapsed="false">
      <c r="A67" s="8" t="s">
        <v>36</v>
      </c>
      <c r="B67" s="18" t="s">
        <v>79</v>
      </c>
      <c r="C67" s="8" t="s">
        <v>71</v>
      </c>
      <c r="D67" s="0" t="n">
        <f aca="false">IF(ISBLANK(A67),"",COUNTIF(A:A,A67))</f>
        <v>6</v>
      </c>
      <c r="E67" s="0" t="n">
        <f aca="false">IF(ISBLANK(B67),"",COUNTIF(B:B,B67))</f>
        <v>7</v>
      </c>
      <c r="F67" s="0" t="n">
        <f aca="false">IF(ISBLANK(C67),"",COUNTIF(C:C,C67))</f>
        <v>18</v>
      </c>
    </row>
    <row r="68" customFormat="false" ht="12.8" hidden="false" customHeight="false" outlineLevel="0" collapsed="false">
      <c r="A68" s="8" t="s">
        <v>36</v>
      </c>
      <c r="B68" s="18" t="s">
        <v>79</v>
      </c>
      <c r="C68" s="8" t="s">
        <v>71</v>
      </c>
      <c r="D68" s="0" t="n">
        <f aca="false">IF(ISBLANK(A68),"",COUNTIF(A:A,A68))</f>
        <v>6</v>
      </c>
      <c r="E68" s="0" t="n">
        <f aca="false">IF(ISBLANK(B68),"",COUNTIF(B:B,B68))</f>
        <v>7</v>
      </c>
      <c r="F68" s="0" t="n">
        <f aca="false">IF(ISBLANK(C68),"",COUNTIF(C:C,C68))</f>
        <v>18</v>
      </c>
    </row>
    <row r="69" customFormat="false" ht="12.8" hidden="false" customHeight="false" outlineLevel="0" collapsed="false">
      <c r="A69" s="8" t="s">
        <v>36</v>
      </c>
      <c r="B69" s="18" t="s">
        <v>79</v>
      </c>
      <c r="C69" s="8" t="s">
        <v>71</v>
      </c>
      <c r="D69" s="0" t="n">
        <f aca="false">IF(ISBLANK(A69),"",COUNTIF(A:A,A69))</f>
        <v>6</v>
      </c>
      <c r="E69" s="0" t="n">
        <f aca="false">IF(ISBLANK(B69),"",COUNTIF(B:B,B69))</f>
        <v>7</v>
      </c>
      <c r="F69" s="0" t="n">
        <f aca="false">IF(ISBLANK(C69),"",COUNTIF(C:C,C69))</f>
        <v>18</v>
      </c>
    </row>
    <row r="70" customFormat="false" ht="12.8" hidden="false" customHeight="false" outlineLevel="0" collapsed="false">
      <c r="A70" s="8" t="s">
        <v>36</v>
      </c>
      <c r="B70" s="18" t="s">
        <v>79</v>
      </c>
      <c r="C70" s="8" t="s">
        <v>71</v>
      </c>
      <c r="D70" s="0" t="n">
        <f aca="false">IF(ISBLANK(A70),"",COUNTIF(A:A,A70))</f>
        <v>6</v>
      </c>
      <c r="E70" s="0" t="n">
        <f aca="false">IF(ISBLANK(B70),"",COUNTIF(B:B,B70))</f>
        <v>7</v>
      </c>
      <c r="F70" s="0" t="n">
        <f aca="false">IF(ISBLANK(C70),"",COUNTIF(C:C,C70))</f>
        <v>18</v>
      </c>
    </row>
    <row r="71" customFormat="false" ht="12.8" hidden="false" customHeight="false" outlineLevel="0" collapsed="false">
      <c r="A71" s="8" t="s">
        <v>36</v>
      </c>
      <c r="B71" s="18" t="s">
        <v>79</v>
      </c>
      <c r="C71" s="8" t="s">
        <v>71</v>
      </c>
      <c r="D71" s="0" t="n">
        <f aca="false">IF(ISBLANK(A71),"",COUNTIF(A:A,A71))</f>
        <v>6</v>
      </c>
      <c r="E71" s="0" t="n">
        <f aca="false">IF(ISBLANK(B71),"",COUNTIF(B:B,B71))</f>
        <v>7</v>
      </c>
      <c r="F71" s="0" t="n">
        <f aca="false">IF(ISBLANK(C71),"",COUNTIF(C:C,C71))</f>
        <v>18</v>
      </c>
    </row>
    <row r="72" customFormat="false" ht="12.8" hidden="false" customHeight="false" outlineLevel="0" collapsed="false">
      <c r="A72" s="22" t="s">
        <v>89</v>
      </c>
      <c r="B72" s="11" t="s">
        <v>70</v>
      </c>
      <c r="C72" s="12" t="s">
        <v>72</v>
      </c>
      <c r="D72" s="0" t="n">
        <f aca="false">IF(ISBLANK(A72),"",COUNTIF(A:A,A72))</f>
        <v>6</v>
      </c>
      <c r="E72" s="0" t="n">
        <f aca="false">IF(ISBLANK(B72),"",COUNTIF(B:B,B72))</f>
        <v>10</v>
      </c>
      <c r="F72" s="0" t="n">
        <f aca="false">IF(ISBLANK(C72),"",COUNTIF(C:C,C72))</f>
        <v>11</v>
      </c>
    </row>
    <row r="73" customFormat="false" ht="12.8" hidden="false" customHeight="false" outlineLevel="0" collapsed="false">
      <c r="A73" s="22" t="s">
        <v>89</v>
      </c>
      <c r="B73" s="8" t="s">
        <v>71</v>
      </c>
      <c r="C73" s="17" t="s">
        <v>77</v>
      </c>
      <c r="D73" s="0" t="n">
        <f aca="false">IF(ISBLANK(A73),"",COUNTIF(A:A,A73))</f>
        <v>6</v>
      </c>
      <c r="E73" s="0" t="n">
        <f aca="false">IF(ISBLANK(B73),"",COUNTIF(B:B,B73))</f>
        <v>9</v>
      </c>
      <c r="F73" s="0" t="n">
        <f aca="false">IF(ISBLANK(C73),"",COUNTIF(C:C,C73))</f>
        <v>4</v>
      </c>
    </row>
    <row r="74" customFormat="false" ht="12.8" hidden="false" customHeight="false" outlineLevel="0" collapsed="false">
      <c r="A74" s="22" t="s">
        <v>89</v>
      </c>
      <c r="B74" s="21" t="s">
        <v>82</v>
      </c>
      <c r="C74" s="8" t="s">
        <v>71</v>
      </c>
      <c r="D74" s="0" t="n">
        <f aca="false">IF(ISBLANK(A74),"",COUNTIF(A:A,A74))</f>
        <v>6</v>
      </c>
      <c r="E74" s="0" t="n">
        <f aca="false">IF(ISBLANK(B74),"",COUNTIF(B:B,B74))</f>
        <v>8</v>
      </c>
      <c r="F74" s="0" t="n">
        <f aca="false">IF(ISBLANK(C74),"",COUNTIF(C:C,C74))</f>
        <v>18</v>
      </c>
    </row>
    <row r="75" customFormat="false" ht="12.8" hidden="false" customHeight="false" outlineLevel="0" collapsed="false">
      <c r="A75" s="22" t="s">
        <v>89</v>
      </c>
      <c r="B75" s="21" t="s">
        <v>82</v>
      </c>
      <c r="C75" s="22" t="s">
        <v>83</v>
      </c>
      <c r="D75" s="0" t="n">
        <f aca="false">IF(ISBLANK(A75),"",COUNTIF(A:A,A75))</f>
        <v>6</v>
      </c>
      <c r="E75" s="0" t="n">
        <f aca="false">IF(ISBLANK(B75),"",COUNTIF(B:B,B75))</f>
        <v>8</v>
      </c>
      <c r="F75" s="0" t="n">
        <f aca="false">IF(ISBLANK(C75),"",COUNTIF(C:C,C75))</f>
        <v>3</v>
      </c>
    </row>
    <row r="76" customFormat="false" ht="12.8" hidden="false" customHeight="false" outlineLevel="0" collapsed="false">
      <c r="A76" s="22" t="s">
        <v>89</v>
      </c>
      <c r="B76" s="22" t="s">
        <v>83</v>
      </c>
      <c r="C76" s="8" t="s">
        <v>71</v>
      </c>
      <c r="D76" s="0" t="n">
        <f aca="false">IF(ISBLANK(A76),"",COUNTIF(A:A,A76))</f>
        <v>6</v>
      </c>
      <c r="E76" s="0" t="n">
        <f aca="false">IF(ISBLANK(B76),"",COUNTIF(B:B,B76))</f>
        <v>7</v>
      </c>
      <c r="F76" s="0" t="n">
        <f aca="false">IF(ISBLANK(C76),"",COUNTIF(C:C,C76))</f>
        <v>18</v>
      </c>
    </row>
    <row r="77" customFormat="false" ht="12.8" hidden="false" customHeight="false" outlineLevel="0" collapsed="false">
      <c r="A77" s="22" t="s">
        <v>89</v>
      </c>
      <c r="B77" s="26" t="s">
        <v>90</v>
      </c>
      <c r="C77" s="8" t="s">
        <v>71</v>
      </c>
      <c r="D77" s="0" t="n">
        <f aca="false">IF(ISBLANK(A77),"",COUNTIF(A:A,A77))</f>
        <v>6</v>
      </c>
      <c r="E77" s="0" t="n">
        <f aca="false">IF(ISBLANK(B77),"",COUNTIF(B:B,B77))</f>
        <v>1</v>
      </c>
      <c r="F77" s="0" t="n">
        <f aca="false">IF(ISBLANK(C77),"",COUNTIF(C:C,C77))</f>
        <v>18</v>
      </c>
    </row>
    <row r="78" customFormat="false" ht="12.8" hidden="false" customHeight="false" outlineLevel="0" collapsed="false">
      <c r="A78" s="21" t="s">
        <v>91</v>
      </c>
      <c r="B78" s="8" t="s">
        <v>71</v>
      </c>
      <c r="D78" s="0" t="n">
        <f aca="false">IF(ISBLANK(A78),"",COUNTIF(A:A,A78))</f>
        <v>4</v>
      </c>
      <c r="E78" s="0" t="n">
        <f aca="false">IF(ISBLANK(B78),"",COUNTIF(B:B,B78))</f>
        <v>9</v>
      </c>
      <c r="F78" s="0" t="str">
        <f aca="false">IF(ISBLANK(C78),"",COUNTIF(C:C,C78))</f>
        <v/>
      </c>
    </row>
    <row r="79" customFormat="false" ht="12.8" hidden="false" customHeight="false" outlineLevel="0" collapsed="false">
      <c r="A79" s="21" t="s">
        <v>91</v>
      </c>
      <c r="B79" s="21" t="s">
        <v>82</v>
      </c>
      <c r="D79" s="0" t="n">
        <f aca="false">IF(ISBLANK(A79),"",COUNTIF(A:A,A79))</f>
        <v>4</v>
      </c>
      <c r="E79" s="0" t="n">
        <f aca="false">IF(ISBLANK(B79),"",COUNTIF(B:B,B79))</f>
        <v>8</v>
      </c>
      <c r="F79" s="0" t="str">
        <f aca="false">IF(ISBLANK(C79),"",COUNTIF(C:C,C79))</f>
        <v/>
      </c>
    </row>
    <row r="80" customFormat="false" ht="12.8" hidden="false" customHeight="false" outlineLevel="0" collapsed="false">
      <c r="A80" s="21" t="s">
        <v>91</v>
      </c>
      <c r="B80" s="21" t="s">
        <v>82</v>
      </c>
      <c r="D80" s="0" t="n">
        <f aca="false">IF(ISBLANK(A80),"",COUNTIF(A:A,A80))</f>
        <v>4</v>
      </c>
      <c r="E80" s="0" t="n">
        <f aca="false">IF(ISBLANK(B80),"",COUNTIF(B:B,B80))</f>
        <v>8</v>
      </c>
      <c r="F80" s="0" t="str">
        <f aca="false">IF(ISBLANK(C80),"",COUNTIF(C:C,C80))</f>
        <v/>
      </c>
    </row>
    <row r="81" customFormat="false" ht="12.8" hidden="false" customHeight="false" outlineLevel="0" collapsed="false">
      <c r="A81" s="21" t="s">
        <v>91</v>
      </c>
      <c r="B81" s="17" t="s">
        <v>77</v>
      </c>
      <c r="D81" s="0" t="n">
        <f aca="false">IF(ISBLANK(A81),"",COUNTIF(A:A,A81))</f>
        <v>4</v>
      </c>
      <c r="E81" s="0" t="n">
        <f aca="false">IF(ISBLANK(B81),"",COUNTIF(B:B,B81))</f>
        <v>5</v>
      </c>
      <c r="F81" s="0" t="str">
        <f aca="false">IF(ISBLANK(C81),"",COUNTIF(C:C,C81))</f>
        <v/>
      </c>
    </row>
    <row r="82" customFormat="false" ht="12.8" hidden="false" customHeight="false" outlineLevel="0" collapsed="false">
      <c r="A82" s="25" t="s">
        <v>92</v>
      </c>
      <c r="B82" s="8" t="s">
        <v>71</v>
      </c>
      <c r="C82" s="18" t="s">
        <v>79</v>
      </c>
      <c r="D82" s="0" t="n">
        <f aca="false">IF(ISBLANK(A82),"",COUNTIF(A:A,A82))</f>
        <v>3</v>
      </c>
      <c r="E82" s="0" t="n">
        <f aca="false">IF(ISBLANK(B82),"",COUNTIF(B:B,B82))</f>
        <v>9</v>
      </c>
      <c r="F82" s="0" t="n">
        <f aca="false">IF(ISBLANK(C82),"",COUNTIF(C:C,C82))</f>
        <v>5</v>
      </c>
    </row>
    <row r="83" customFormat="false" ht="12.8" hidden="false" customHeight="false" outlineLevel="0" collapsed="false">
      <c r="A83" s="25" t="s">
        <v>92</v>
      </c>
      <c r="B83" s="20" t="s">
        <v>81</v>
      </c>
      <c r="C83" s="18" t="s">
        <v>79</v>
      </c>
      <c r="D83" s="0" t="n">
        <f aca="false">IF(ISBLANK(A83),"",COUNTIF(A:A,A83))</f>
        <v>3</v>
      </c>
      <c r="E83" s="0" t="n">
        <f aca="false">IF(ISBLANK(B83),"",COUNTIF(B:B,B83))</f>
        <v>5</v>
      </c>
      <c r="F83" s="0" t="n">
        <f aca="false">IF(ISBLANK(C83),"",COUNTIF(C:C,C83))</f>
        <v>5</v>
      </c>
    </row>
    <row r="84" customFormat="false" ht="12.8" hidden="false" customHeight="false" outlineLevel="0" collapsed="false">
      <c r="A84" s="25" t="s">
        <v>92</v>
      </c>
      <c r="B84" s="25" t="s">
        <v>87</v>
      </c>
      <c r="C84" s="18" t="s">
        <v>79</v>
      </c>
      <c r="D84" s="0" t="n">
        <f aca="false">IF(ISBLANK(A84),"",COUNTIF(A:A,A84))</f>
        <v>3</v>
      </c>
      <c r="E84" s="0" t="n">
        <f aca="false">IF(ISBLANK(B84),"",COUNTIF(B:B,B84))</f>
        <v>2</v>
      </c>
      <c r="F84" s="0" t="n">
        <f aca="false">IF(ISBLANK(C84),"",COUNTIF(C:C,C84))</f>
        <v>5</v>
      </c>
    </row>
    <row r="85" customFormat="false" ht="12.8" hidden="false" customHeight="false" outlineLevel="0" collapsed="false">
      <c r="A85" s="19" t="s">
        <v>93</v>
      </c>
      <c r="B85" s="14" t="s">
        <v>74</v>
      </c>
      <c r="C85" s="18" t="s">
        <v>79</v>
      </c>
      <c r="D85" s="0" t="n">
        <f aca="false">IF(ISBLANK(A85),"",COUNTIF(A:A,A85))</f>
        <v>3</v>
      </c>
      <c r="E85" s="0" t="n">
        <f aca="false">IF(ISBLANK(B85),"",COUNTIF(B:B,B85))</f>
        <v>9</v>
      </c>
      <c r="F85" s="0" t="n">
        <f aca="false">IF(ISBLANK(C85),"",COUNTIF(C:C,C85))</f>
        <v>5</v>
      </c>
    </row>
    <row r="86" customFormat="false" ht="12.8" hidden="false" customHeight="false" outlineLevel="0" collapsed="false">
      <c r="A86" s="19" t="s">
        <v>93</v>
      </c>
      <c r="B86" s="15" t="s">
        <v>75</v>
      </c>
      <c r="C86" s="14" t="s">
        <v>74</v>
      </c>
      <c r="D86" s="0" t="n">
        <f aca="false">IF(ISBLANK(A86),"",COUNTIF(A:A,A86))</f>
        <v>3</v>
      </c>
      <c r="E86" s="0" t="n">
        <f aca="false">IF(ISBLANK(B86),"",COUNTIF(B:B,B86))</f>
        <v>7</v>
      </c>
      <c r="F86" s="0" t="n">
        <f aca="false">IF(ISBLANK(C86),"",COUNTIF(C:C,C86))</f>
        <v>3</v>
      </c>
    </row>
    <row r="87" customFormat="false" ht="12.8" hidden="false" customHeight="false" outlineLevel="0" collapsed="false">
      <c r="A87" s="19" t="s">
        <v>93</v>
      </c>
      <c r="B87" s="19" t="s">
        <v>80</v>
      </c>
      <c r="C87" s="19" t="s">
        <v>80</v>
      </c>
      <c r="D87" s="0" t="n">
        <f aca="false">IF(ISBLANK(A87),"",COUNTIF(A:A,A87))</f>
        <v>3</v>
      </c>
      <c r="E87" s="0" t="n">
        <f aca="false">IF(ISBLANK(B87),"",COUNTIF(B:B,B87))</f>
        <v>5</v>
      </c>
      <c r="F87" s="0" t="n">
        <f aca="false">IF(ISBLANK(C87),"",COUNTIF(C:C,C87))</f>
        <v>3</v>
      </c>
    </row>
    <row r="88" customFormat="false" ht="12.8" hidden="false" customHeight="false" outlineLevel="0" collapsed="false">
      <c r="A88" s="27" t="s">
        <v>94</v>
      </c>
      <c r="B88" s="14" t="s">
        <v>74</v>
      </c>
      <c r="C88" s="15" t="s">
        <v>75</v>
      </c>
      <c r="D88" s="0" t="n">
        <f aca="false">IF(ISBLANK(A88),"",COUNTIF(A:A,A88))</f>
        <v>3</v>
      </c>
      <c r="E88" s="0" t="n">
        <f aca="false">IF(ISBLANK(B88),"",COUNTIF(B:B,B88))</f>
        <v>9</v>
      </c>
      <c r="F88" s="0" t="n">
        <f aca="false">IF(ISBLANK(C88),"",COUNTIF(C:C,C88))</f>
        <v>8</v>
      </c>
    </row>
    <row r="89" customFormat="false" ht="12.8" hidden="false" customHeight="false" outlineLevel="0" collapsed="false">
      <c r="A89" s="27" t="s">
        <v>94</v>
      </c>
      <c r="B89" s="27" t="s">
        <v>95</v>
      </c>
      <c r="C89" s="28" t="s">
        <v>96</v>
      </c>
      <c r="D89" s="0" t="n">
        <f aca="false">IF(ISBLANK(A89),"",COUNTIF(A:A,A89))</f>
        <v>3</v>
      </c>
      <c r="E89" s="0" t="n">
        <f aca="false">IF(ISBLANK(B89),"",COUNTIF(B:B,B89))</f>
        <v>2</v>
      </c>
      <c r="F89" s="0" t="n">
        <f aca="false">IF(ISBLANK(C89),"",COUNTIF(C:C,C89))</f>
        <v>2</v>
      </c>
    </row>
    <row r="90" customFormat="false" ht="12.8" hidden="false" customHeight="false" outlineLevel="0" collapsed="false">
      <c r="A90" s="27" t="s">
        <v>94</v>
      </c>
      <c r="B90" s="27" t="s">
        <v>95</v>
      </c>
      <c r="C90" s="28" t="s">
        <v>96</v>
      </c>
      <c r="D90" s="0" t="n">
        <f aca="false">IF(ISBLANK(A90),"",COUNTIF(A:A,A90))</f>
        <v>3</v>
      </c>
      <c r="E90" s="0" t="n">
        <f aca="false">IF(ISBLANK(B90),"",COUNTIF(B:B,B90))</f>
        <v>2</v>
      </c>
      <c r="F90" s="0" t="n">
        <f aca="false">IF(ISBLANK(C90),"",COUNTIF(C:C,C90))</f>
        <v>2</v>
      </c>
    </row>
    <row r="91" customFormat="false" ht="12.8" hidden="false" customHeight="false" outlineLevel="0" collapsed="false">
      <c r="A91" s="16" t="s">
        <v>97</v>
      </c>
      <c r="B91" s="15" t="s">
        <v>75</v>
      </c>
      <c r="C91" s="16" t="s">
        <v>76</v>
      </c>
      <c r="D91" s="0" t="n">
        <f aca="false">IF(ISBLANK(A91),"",COUNTIF(A:A,A91))</f>
        <v>1</v>
      </c>
      <c r="E91" s="0" t="n">
        <f aca="false">IF(ISBLANK(B91),"",COUNTIF(B:B,B91))</f>
        <v>7</v>
      </c>
      <c r="F91" s="0" t="n">
        <f aca="false">IF(ISBLANK(C91),"",COUNTIF(C:C,C91))</f>
        <v>2</v>
      </c>
    </row>
  </sheetData>
  <autoFilter ref="A1:F91"/>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sheetPr filterMode="false">
    <pageSetUpPr fitToPage="false"/>
  </sheetPr>
  <dimension ref="A1:K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7" activeCellId="0" sqref="A17"/>
    </sheetView>
  </sheetViews>
  <sheetFormatPr defaultRowHeight="12.8" zeroHeight="false" outlineLevelRow="0" outlineLevelCol="0"/>
  <cols>
    <col collapsed="false" customWidth="true" hidden="false" outlineLevel="0" max="1" min="1" style="0" width="9.63"/>
    <col collapsed="false" customWidth="true" hidden="false" outlineLevel="0" max="2" min="2" style="1" width="5.32"/>
    <col collapsed="false" customWidth="false" hidden="false" outlineLevel="0" max="3" min="3" style="0" width="11.52"/>
    <col collapsed="false" customWidth="true" hidden="false" outlineLevel="0" max="4" min="4" style="0" width="8.79"/>
    <col collapsed="false" customWidth="true" hidden="false" outlineLevel="0" max="5" min="5" style="1" width="5.83"/>
    <col collapsed="false" customWidth="false" hidden="false" outlineLevel="0" max="6" min="6" style="0" width="11.52"/>
    <col collapsed="false" customWidth="true" hidden="false" outlineLevel="0" max="7" min="7" style="0" width="8.79"/>
    <col collapsed="false" customWidth="true" hidden="false" outlineLevel="0" max="8" min="8" style="1" width="5.55"/>
    <col collapsed="false" customWidth="false" hidden="false" outlineLevel="0" max="10" min="9" style="0" width="11.52"/>
    <col collapsed="false" customWidth="true" hidden="false" outlineLevel="0" max="11" min="11" style="0" width="5.55"/>
    <col collapsed="false" customWidth="false" hidden="false" outlineLevel="0" max="1025" min="12" style="0" width="11.52"/>
  </cols>
  <sheetData>
    <row r="1" s="9" customFormat="true" ht="12.8" hidden="false" customHeight="false" outlineLevel="0" collapsed="false">
      <c r="A1" s="9" t="s">
        <v>63</v>
      </c>
      <c r="B1" s="3" t="s">
        <v>98</v>
      </c>
      <c r="D1" s="9" t="s">
        <v>64</v>
      </c>
      <c r="E1" s="3" t="s">
        <v>98</v>
      </c>
      <c r="G1" s="9" t="s">
        <v>65</v>
      </c>
      <c r="H1" s="3" t="s">
        <v>98</v>
      </c>
      <c r="J1" s="9" t="s">
        <v>99</v>
      </c>
      <c r="K1" s="3" t="s">
        <v>98</v>
      </c>
    </row>
    <row r="2" customFormat="false" ht="12.8" hidden="false" customHeight="false" outlineLevel="0" collapsed="false">
      <c r="A2" s="10" t="s">
        <v>69</v>
      </c>
      <c r="B2" s="1" t="n">
        <f aca="false">COUNTIF(Tatjes!A:A,A2)</f>
        <v>16</v>
      </c>
      <c r="D2" s="11" t="s">
        <v>70</v>
      </c>
      <c r="E2" s="1" t="n">
        <f aca="false">COUNTIF(Tatjes!B:B,D2)</f>
        <v>10</v>
      </c>
      <c r="G2" s="8" t="s">
        <v>71</v>
      </c>
      <c r="H2" s="1" t="n">
        <f aca="false">COUNTIF(Tatjes!C:C,G2)</f>
        <v>18</v>
      </c>
      <c r="J2" s="8" t="s">
        <v>71</v>
      </c>
      <c r="K2" s="1" t="n">
        <f aca="false">COUNTIF(Tatjes!B:B,J2)*2+COUNTIF(Tatjes!C:C,J2)</f>
        <v>36</v>
      </c>
    </row>
    <row r="3" customFormat="false" ht="12.8" hidden="false" customHeight="false" outlineLevel="0" collapsed="false">
      <c r="A3" s="11" t="s">
        <v>33</v>
      </c>
      <c r="B3" s="1" t="n">
        <f aca="false">COUNTIF(Tatjes!A:A,A3)</f>
        <v>15</v>
      </c>
      <c r="D3" s="8" t="s">
        <v>71</v>
      </c>
      <c r="E3" s="1" t="n">
        <f aca="false">COUNTIF(Tatjes!B:B,D3)</f>
        <v>9</v>
      </c>
      <c r="G3" s="12" t="s">
        <v>72</v>
      </c>
      <c r="H3" s="1" t="n">
        <f aca="false">COUNTIF(Tatjes!C:C,G3)</f>
        <v>11</v>
      </c>
      <c r="J3" s="11" t="s">
        <v>70</v>
      </c>
      <c r="K3" s="1" t="n">
        <f aca="false">COUNTIF(Tatjes!B:B,J3)*2+COUNTIF(Tatjes!C:C,J3)</f>
        <v>26</v>
      </c>
    </row>
    <row r="4" customFormat="false" ht="12.8" hidden="false" customHeight="false" outlineLevel="0" collapsed="false">
      <c r="A4" s="21" t="s">
        <v>85</v>
      </c>
      <c r="B4" s="1" t="n">
        <f aca="false">COUNTIF(Tatjes!A:A,A4)</f>
        <v>12</v>
      </c>
      <c r="D4" s="14" t="s">
        <v>74</v>
      </c>
      <c r="E4" s="1" t="n">
        <f aca="false">COUNTIF(Tatjes!B:B,D4)</f>
        <v>9</v>
      </c>
      <c r="G4" s="15" t="s">
        <v>75</v>
      </c>
      <c r="H4" s="1" t="n">
        <f aca="false">COUNTIF(Tatjes!C:C,G4)</f>
        <v>8</v>
      </c>
      <c r="J4" s="15" t="s">
        <v>75</v>
      </c>
      <c r="K4" s="1" t="n">
        <f aca="false">COUNTIF(Tatjes!B:B,J4)*2+COUNTIF(Tatjes!C:C,J4)</f>
        <v>22</v>
      </c>
    </row>
    <row r="5" customFormat="false" ht="12.8" hidden="false" customHeight="false" outlineLevel="0" collapsed="false">
      <c r="A5" s="20" t="s">
        <v>19</v>
      </c>
      <c r="B5" s="1" t="n">
        <f aca="false">COUNTIF(Tatjes!A:A,A5)</f>
        <v>11</v>
      </c>
      <c r="D5" s="21" t="s">
        <v>82</v>
      </c>
      <c r="E5" s="1" t="n">
        <f aca="false">COUNTIF(Tatjes!B:B,D5)</f>
        <v>8</v>
      </c>
      <c r="G5" s="11" t="s">
        <v>70</v>
      </c>
      <c r="H5" s="1" t="n">
        <f aca="false">COUNTIF(Tatjes!C:C,G5)</f>
        <v>6</v>
      </c>
      <c r="J5" s="14" t="s">
        <v>74</v>
      </c>
      <c r="K5" s="1" t="n">
        <f aca="false">COUNTIF(Tatjes!B:B,J5)*2+COUNTIF(Tatjes!C:C,J5)</f>
        <v>21</v>
      </c>
    </row>
    <row r="6" customFormat="false" ht="12.8" hidden="false" customHeight="false" outlineLevel="0" collapsed="false">
      <c r="A6" s="15" t="s">
        <v>88</v>
      </c>
      <c r="B6" s="1" t="n">
        <f aca="false">COUNTIF(Tatjes!A:A,A6)</f>
        <v>10</v>
      </c>
      <c r="D6" s="22" t="s">
        <v>83</v>
      </c>
      <c r="E6" s="1" t="n">
        <f aca="false">COUNTIF(Tatjes!B:B,D6)</f>
        <v>7</v>
      </c>
      <c r="G6" s="18" t="s">
        <v>79</v>
      </c>
      <c r="H6" s="1" t="n">
        <f aca="false">COUNTIF(Tatjes!C:C,G6)</f>
        <v>5</v>
      </c>
      <c r="J6" s="18" t="s">
        <v>79</v>
      </c>
      <c r="K6" s="1" t="n">
        <f aca="false">COUNTIF(Tatjes!B:B,J6)*2+COUNTIF(Tatjes!C:C,J6)</f>
        <v>19</v>
      </c>
    </row>
    <row r="7" customFormat="false" ht="12.8" hidden="false" customHeight="false" outlineLevel="0" collapsed="false">
      <c r="A7" s="8" t="s">
        <v>36</v>
      </c>
      <c r="B7" s="1" t="n">
        <f aca="false">COUNTIF(Tatjes!A:A,A7)</f>
        <v>6</v>
      </c>
      <c r="D7" s="16" t="s">
        <v>76</v>
      </c>
      <c r="E7" s="1" t="n">
        <f aca="false">COUNTIF(Tatjes!B:B,D7)</f>
        <v>7</v>
      </c>
      <c r="G7" s="17" t="s">
        <v>77</v>
      </c>
      <c r="H7" s="1" t="n">
        <f aca="false">COUNTIF(Tatjes!C:C,G7)</f>
        <v>4</v>
      </c>
      <c r="J7" s="22" t="s">
        <v>83</v>
      </c>
      <c r="K7" s="1" t="n">
        <f aca="false">COUNTIF(Tatjes!B:B,J7)*2+COUNTIF(Tatjes!C:C,J7)</f>
        <v>17</v>
      </c>
    </row>
    <row r="8" customFormat="false" ht="12.8" hidden="false" customHeight="false" outlineLevel="0" collapsed="false">
      <c r="A8" s="22" t="s">
        <v>89</v>
      </c>
      <c r="B8" s="1" t="n">
        <f aca="false">COUNTIF(Tatjes!A:A,A8)</f>
        <v>6</v>
      </c>
      <c r="D8" s="15" t="s">
        <v>75</v>
      </c>
      <c r="E8" s="1" t="n">
        <f aca="false">COUNTIF(Tatjes!B:B,D8)</f>
        <v>7</v>
      </c>
      <c r="G8" s="19" t="s">
        <v>80</v>
      </c>
      <c r="H8" s="1" t="n">
        <f aca="false">COUNTIF(Tatjes!C:C,G8)</f>
        <v>3</v>
      </c>
      <c r="J8" s="21" t="s">
        <v>82</v>
      </c>
      <c r="K8" s="1" t="n">
        <f aca="false">COUNTIF(Tatjes!B:B,J8)*2+COUNTIF(Tatjes!C:C,J8)</f>
        <v>16</v>
      </c>
    </row>
    <row r="9" customFormat="false" ht="12.8" hidden="false" customHeight="false" outlineLevel="0" collapsed="false">
      <c r="A9" s="21" t="s">
        <v>91</v>
      </c>
      <c r="B9" s="1" t="n">
        <f aca="false">COUNTIF(Tatjes!A:A,A9)</f>
        <v>4</v>
      </c>
      <c r="D9" s="18" t="s">
        <v>79</v>
      </c>
      <c r="E9" s="1" t="n">
        <f aca="false">COUNTIF(Tatjes!B:B,D9)</f>
        <v>7</v>
      </c>
      <c r="G9" s="22" t="s">
        <v>83</v>
      </c>
      <c r="H9" s="1" t="n">
        <f aca="false">COUNTIF(Tatjes!C:C,G9)</f>
        <v>3</v>
      </c>
      <c r="J9" s="16" t="s">
        <v>76</v>
      </c>
      <c r="K9" s="1" t="n">
        <f aca="false">COUNTIF(Tatjes!B:B,J9)*2+COUNTIF(Tatjes!C:C,J9)</f>
        <v>16</v>
      </c>
    </row>
    <row r="10" customFormat="false" ht="12.8" hidden="false" customHeight="false" outlineLevel="0" collapsed="false">
      <c r="A10" s="25" t="s">
        <v>92</v>
      </c>
      <c r="B10" s="1" t="n">
        <f aca="false">COUNTIF(Tatjes!A:A,A10)</f>
        <v>3</v>
      </c>
      <c r="D10" s="19" t="s">
        <v>80</v>
      </c>
      <c r="E10" s="1" t="n">
        <f aca="false">COUNTIF(Tatjes!B:B,D10)</f>
        <v>5</v>
      </c>
      <c r="G10" s="13" t="s">
        <v>73</v>
      </c>
      <c r="H10" s="1" t="n">
        <f aca="false">COUNTIF(Tatjes!C:C,G10)</f>
        <v>3</v>
      </c>
      <c r="J10" s="12" t="s">
        <v>72</v>
      </c>
      <c r="K10" s="1" t="n">
        <f aca="false">COUNTIF(Tatjes!B:B,J10)*2+COUNTIF(Tatjes!C:C,J10)</f>
        <v>15</v>
      </c>
    </row>
    <row r="11" customFormat="false" ht="12.8" hidden="false" customHeight="false" outlineLevel="0" collapsed="false">
      <c r="A11" s="19" t="s">
        <v>93</v>
      </c>
      <c r="B11" s="1" t="n">
        <f aca="false">COUNTIF(Tatjes!A:A,A11)</f>
        <v>3</v>
      </c>
      <c r="D11" s="17" t="s">
        <v>77</v>
      </c>
      <c r="E11" s="1" t="n">
        <f aca="false">COUNTIF(Tatjes!B:B,D11)</f>
        <v>5</v>
      </c>
      <c r="G11" s="14" t="s">
        <v>74</v>
      </c>
      <c r="H11" s="1" t="n">
        <f aca="false">COUNTIF(Tatjes!C:C,G11)</f>
        <v>3</v>
      </c>
      <c r="J11" s="17" t="s">
        <v>77</v>
      </c>
      <c r="K11" s="1" t="n">
        <f aca="false">COUNTIF(Tatjes!B:B,J11)*2+COUNTIF(Tatjes!C:C,J11)</f>
        <v>14</v>
      </c>
    </row>
    <row r="12" customFormat="false" ht="12.8" hidden="false" customHeight="false" outlineLevel="0" collapsed="false">
      <c r="A12" s="27" t="s">
        <v>94</v>
      </c>
      <c r="B12" s="1" t="n">
        <f aca="false">COUNTIF(Tatjes!A:A,A12)</f>
        <v>3</v>
      </c>
      <c r="D12" s="20" t="s">
        <v>81</v>
      </c>
      <c r="E12" s="1" t="n">
        <f aca="false">COUNTIF(Tatjes!B:B,D12)</f>
        <v>5</v>
      </c>
      <c r="G12" s="28" t="s">
        <v>96</v>
      </c>
      <c r="H12" s="1" t="n">
        <f aca="false">COUNTIF(Tatjes!C:C,G12)</f>
        <v>2</v>
      </c>
      <c r="J12" s="19" t="s">
        <v>80</v>
      </c>
      <c r="K12" s="1" t="n">
        <f aca="false">COUNTIF(Tatjes!B:B,J12)*2+COUNTIF(Tatjes!C:C,J12)</f>
        <v>13</v>
      </c>
    </row>
    <row r="13" customFormat="false" ht="12.8" hidden="false" customHeight="false" outlineLevel="0" collapsed="false">
      <c r="A13" s="16" t="s">
        <v>97</v>
      </c>
      <c r="B13" s="1" t="n">
        <f aca="false">COUNTIF(Tatjes!A:A,A13)</f>
        <v>1</v>
      </c>
      <c r="D13" s="12" t="s">
        <v>72</v>
      </c>
      <c r="E13" s="1" t="n">
        <f aca="false">COUNTIF(Tatjes!B:B,D13)</f>
        <v>2</v>
      </c>
      <c r="G13" s="16" t="s">
        <v>76</v>
      </c>
      <c r="H13" s="1" t="n">
        <f aca="false">COUNTIF(Tatjes!C:C,G13)</f>
        <v>2</v>
      </c>
      <c r="J13" s="20" t="s">
        <v>81</v>
      </c>
      <c r="K13" s="1" t="n">
        <f aca="false">COUNTIF(Tatjes!B:B,J13)*2+COUNTIF(Tatjes!C:C,J13)</f>
        <v>11</v>
      </c>
    </row>
    <row r="14" customFormat="false" ht="12.8" hidden="false" customHeight="false" outlineLevel="0" collapsed="false">
      <c r="D14" s="27" t="s">
        <v>95</v>
      </c>
      <c r="E14" s="1" t="n">
        <f aca="false">COUNTIF(Tatjes!B:B,D14)</f>
        <v>2</v>
      </c>
      <c r="G14" s="20" t="s">
        <v>81</v>
      </c>
      <c r="H14" s="1" t="n">
        <f aca="false">COUNTIF(Tatjes!C:C,G14)</f>
        <v>1</v>
      </c>
      <c r="J14" s="13" t="s">
        <v>73</v>
      </c>
      <c r="K14" s="1" t="n">
        <f aca="false">COUNTIF(Tatjes!B:B,J14)*2+COUNTIF(Tatjes!C:C,J14)</f>
        <v>7</v>
      </c>
    </row>
    <row r="15" customFormat="false" ht="12.8" hidden="false" customHeight="false" outlineLevel="0" collapsed="false">
      <c r="A15" s="9" t="s">
        <v>18</v>
      </c>
      <c r="B15" s="3" t="n">
        <f aca="false">COUNTA(Tatjes!A:A)-1</f>
        <v>90</v>
      </c>
      <c r="D15" s="13" t="s">
        <v>73</v>
      </c>
      <c r="E15" s="1" t="n">
        <f aca="false">COUNTIF(Tatjes!B:B,D15)</f>
        <v>2</v>
      </c>
      <c r="G15" s="23" t="s">
        <v>84</v>
      </c>
      <c r="H15" s="1" t="n">
        <f aca="false">COUNTIF(Tatjes!C:C,G15)</f>
        <v>1</v>
      </c>
      <c r="J15" s="27" t="s">
        <v>95</v>
      </c>
      <c r="K15" s="1" t="n">
        <f aca="false">COUNTIF(Tatjes!B:B,J15)*2+COUNTIF(Tatjes!C:C,J15)</f>
        <v>4</v>
      </c>
    </row>
    <row r="16" customFormat="false" ht="12.8" hidden="false" customHeight="false" outlineLevel="0" collapsed="false">
      <c r="D16" s="24" t="s">
        <v>86</v>
      </c>
      <c r="E16" s="1" t="n">
        <f aca="false">COUNTIF(Tatjes!B:B,D16)</f>
        <v>2</v>
      </c>
      <c r="G16" s="27" t="s">
        <v>95</v>
      </c>
      <c r="H16" s="1" t="n">
        <f aca="false">COUNTIF(Tatjes!C:C,G16)</f>
        <v>0</v>
      </c>
      <c r="J16" s="24" t="s">
        <v>86</v>
      </c>
      <c r="K16" s="1" t="n">
        <f aca="false">COUNTIF(Tatjes!B:B,J16)*2+COUNTIF(Tatjes!C:C,J16)</f>
        <v>4</v>
      </c>
    </row>
    <row r="17" customFormat="false" ht="12.8" hidden="false" customHeight="false" outlineLevel="0" collapsed="false">
      <c r="D17" s="25" t="s">
        <v>87</v>
      </c>
      <c r="E17" s="1" t="n">
        <f aca="false">COUNTIF(Tatjes!B:B,D17)</f>
        <v>2</v>
      </c>
      <c r="G17" s="21" t="s">
        <v>82</v>
      </c>
      <c r="H17" s="1" t="n">
        <f aca="false">COUNTIF(Tatjes!C:C,G17)</f>
        <v>0</v>
      </c>
      <c r="J17" s="25" t="s">
        <v>87</v>
      </c>
      <c r="K17" s="1" t="n">
        <f aca="false">COUNTIF(Tatjes!B:B,J17)*2+COUNTIF(Tatjes!C:C,J17)</f>
        <v>4</v>
      </c>
    </row>
    <row r="18" customFormat="false" ht="12.8" hidden="false" customHeight="false" outlineLevel="0" collapsed="false">
      <c r="D18" s="26" t="s">
        <v>90</v>
      </c>
      <c r="E18" s="1" t="n">
        <f aca="false">COUNTIF(Tatjes!B:B,D18)</f>
        <v>1</v>
      </c>
      <c r="G18" s="24" t="s">
        <v>86</v>
      </c>
      <c r="H18" s="1" t="n">
        <f aca="false">COUNTIF(Tatjes!C:C,G18)</f>
        <v>0</v>
      </c>
      <c r="J18" s="28" t="s">
        <v>96</v>
      </c>
      <c r="K18" s="1" t="n">
        <f aca="false">COUNTIF(Tatjes!B:B,J18)*2+COUNTIF(Tatjes!C:C,J18)</f>
        <v>2</v>
      </c>
    </row>
    <row r="19" customFormat="false" ht="12.8" hidden="false" customHeight="false" outlineLevel="0" collapsed="false">
      <c r="D19" s="28" t="s">
        <v>96</v>
      </c>
      <c r="E19" s="1" t="n">
        <f aca="false">COUNTIF(Tatjes!B:B,D19)</f>
        <v>0</v>
      </c>
      <c r="G19" s="26" t="s">
        <v>90</v>
      </c>
      <c r="H19" s="1" t="n">
        <f aca="false">COUNTIF(Tatjes!C:C,G19)</f>
        <v>0</v>
      </c>
      <c r="J19" s="26" t="s">
        <v>90</v>
      </c>
      <c r="K19" s="1" t="n">
        <f aca="false">COUNTIF(Tatjes!B:B,J19)*2+COUNTIF(Tatjes!C:C,J19)</f>
        <v>2</v>
      </c>
    </row>
    <row r="20" customFormat="false" ht="12.8" hidden="false" customHeight="false" outlineLevel="0" collapsed="false">
      <c r="D20" s="23" t="s">
        <v>84</v>
      </c>
      <c r="E20" s="1" t="n">
        <f aca="false">COUNTIF(Tatjes!B:B,D20)</f>
        <v>0</v>
      </c>
      <c r="G20" s="25" t="s">
        <v>87</v>
      </c>
      <c r="H20" s="1" t="n">
        <f aca="false">COUNTIF(Tatjes!C:C,G20)</f>
        <v>0</v>
      </c>
      <c r="J20" s="23" t="s">
        <v>84</v>
      </c>
      <c r="K20" s="1" t="n">
        <f aca="false">COUNTIF(Tatjes!B:B,J20)*2+COUNTIF(Tatjes!C:C,J20)</f>
        <v>1</v>
      </c>
    </row>
  </sheetData>
  <autoFilter ref="A1:B13"/>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138</TotalTime>
  <Application>Trio_Office/6.2.8.2$Windows_x86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2026-05-11T16:50:45Z</dcterms:created>
  <dc:creator/>
  <dc:description/>
  <dc:language>en-US</dc:language>
  <cp:lastModifiedBy/>
  <dcterms:modified xsi:type="dcterms:W3CDTF">2026-05-21T22:26:13Z</dcterms:modified>
  <cp:revision>7</cp:revision>
  <dc:subject/>
  <dc:title/>
</cp:coreProperties>
</file>